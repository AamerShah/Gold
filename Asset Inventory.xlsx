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1.xml" ContentType="application/vnd.openxmlformats-officedocument.spreadsheetml.queryTable+xml"/>
  <Override PartName="/xl/tables/table16.xml" ContentType="application/vnd.openxmlformats-officedocument.spreadsheetml.table+xml"/>
  <Override PartName="/xl/queryTables/queryTable2.xml" ContentType="application/vnd.openxmlformats-officedocument.spreadsheetml.queryTable+xml"/>
  <Override PartName="/xl/tables/table17.xml" ContentType="application/vnd.openxmlformats-officedocument.spreadsheetml.table+xml"/>
  <Override PartName="/xl/queryTables/queryTable3.xml" ContentType="application/vnd.openxmlformats-officedocument.spreadsheetml.queryTable+xml"/>
  <Override PartName="/xl/tables/table18.xml" ContentType="application/vnd.openxmlformats-officedocument.spreadsheetml.table+xml"/>
  <Override PartName="/xl/queryTables/queryTable4.xml" ContentType="application/vnd.openxmlformats-officedocument.spreadsheetml.queryTable+xml"/>
  <Override PartName="/xl/tables/table19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er Shah\Desktop\"/>
    </mc:Choice>
  </mc:AlternateContent>
  <xr:revisionPtr revIDLastSave="0" documentId="13_ncr:8001_{8C6E7042-EE17-4E6E-BB95-29B9C6657882}" xr6:coauthVersionLast="47" xr6:coauthVersionMax="47" xr10:uidLastSave="{00000000-0000-0000-0000-000000000000}"/>
  <bookViews>
    <workbookView xWindow="-98" yWindow="-98" windowWidth="21795" windowHeight="12975" xr2:uid="{93966B60-7B50-4EF6-87A2-E1815D51471F}"/>
  </bookViews>
  <sheets>
    <sheet name="Zakah Engine" sheetId="8" r:id="rId1"/>
    <sheet name="Inventory" sheetId="7" r:id="rId2"/>
    <sheet name="#" sheetId="3" r:id="rId3"/>
  </sheets>
  <definedNames>
    <definedName name="ExternalData_1" localSheetId="2" hidden="1">'#'!$A$1:$G$9</definedName>
    <definedName name="ExternalData_11" localSheetId="2" hidden="1">'#'!#REF!</definedName>
    <definedName name="ExternalData_12" localSheetId="2" hidden="1">'#'!#REF!</definedName>
    <definedName name="ExternalData_2" localSheetId="2" hidden="1">'#'!$A$11:$H$15</definedName>
    <definedName name="ExternalData_3" localSheetId="2" hidden="1">'#'!#REF!</definedName>
    <definedName name="ExternalData_4" localSheetId="2" hidden="1">'#'!$J$1:$O$6</definedName>
    <definedName name="ExternalData_5" localSheetId="2" hidden="1">'#'!$J$11:$M$13</definedName>
    <definedName name="ExternalData_6" localSheetId="2" hidden="1">'#'!$A$17:$D$24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old Rate Srinagar_b96e526e-4389-47bb-b044-f39ac3370dcb" name="Gold Rate Srinagar" connection="Query - Gold Rate Srinagar"/>
          <x15:modelTable id="Silver Srinagar_7bd9d238-555f-4fed-9e48-b976aeb83985" name="Silver Srinagar" connection="Query - Silver Srinagar"/>
          <x15:modelTable id="Currencies_49570d5a-6e64-4d0e-9da8-c3cfb37530ff" name="Currencies" connection="Query - Currencies"/>
          <x15:modelTable id="Gold UAE_73de167c-2341-4f68-a604-0f862aee1a80" name="Gold UAE" connection="Query - Gold UAE"/>
          <x15:modelTable id="Silver UAE_37954785-2b1d-4325-a380-4b55eb40f1fb" name="Silver UAE" connection="Query - Silver UA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3" l="1"/>
  <c r="N13" i="3"/>
  <c r="C11" i="8"/>
  <c r="M20" i="7"/>
  <c r="C14" i="8"/>
  <c r="C13" i="8"/>
  <c r="C12" i="8"/>
  <c r="C5" i="8"/>
  <c r="C3" i="8"/>
  <c r="M21" i="7"/>
  <c r="K25" i="7"/>
  <c r="K26" i="7" s="1"/>
  <c r="E24" i="7"/>
  <c r="K4" i="7" s="1"/>
  <c r="L4" i="7" s="1"/>
  <c r="N4" i="7" s="1"/>
  <c r="P8" i="8"/>
  <c r="L15" i="7"/>
  <c r="O9" i="8" s="1" a="1"/>
  <c r="O9" i="8" s="1"/>
  <c r="L25" i="7" l="1"/>
  <c r="L26" i="7" s="1"/>
  <c r="L10" i="8"/>
  <c r="L11" i="8"/>
  <c r="K12" i="7"/>
  <c r="L12" i="7"/>
  <c r="K38" i="7" s="1" a="1"/>
  <c r="K38" i="7" s="1"/>
  <c r="K50" i="7" s="1"/>
  <c r="O13" i="8" s="1"/>
  <c r="P13" i="8" s="1"/>
  <c r="K5" i="8"/>
  <c r="G32" i="7" l="1"/>
  <c r="K20" i="7" s="1"/>
  <c r="L20" i="7" s="1"/>
  <c r="G24" i="7"/>
  <c r="K21" i="7" s="1"/>
  <c r="L21" i="7" s="1"/>
  <c r="N21" i="7" l="1"/>
  <c r="G3" i="8" s="1"/>
  <c r="N20" i="7"/>
  <c r="F3" i="8" s="1"/>
  <c r="F32" i="7"/>
  <c r="E32" i="7"/>
  <c r="D32" i="7"/>
  <c r="B12" i="8" s="1"/>
  <c r="C32" i="7"/>
  <c r="K8" i="7" l="1"/>
  <c r="L8" i="7" s="1"/>
  <c r="M8" i="7" s="1"/>
  <c r="B14" i="8"/>
  <c r="K5" i="7"/>
  <c r="L5" i="7" s="1"/>
  <c r="M5" i="7" s="1"/>
  <c r="B11" i="8"/>
  <c r="K7" i="7"/>
  <c r="L7" i="7" s="1"/>
  <c r="M7" i="7" s="1"/>
  <c r="B13" i="8"/>
  <c r="K6" i="7"/>
  <c r="L6" i="7" s="1"/>
  <c r="M6" i="7" s="1"/>
  <c r="O14" i="8"/>
  <c r="P2" i="8"/>
  <c r="P3" i="8"/>
  <c r="P4" i="8"/>
  <c r="P5" i="8"/>
  <c r="P6" i="8"/>
  <c r="P7" i="8"/>
  <c r="P9" i="8"/>
  <c r="P10" i="8"/>
  <c r="P11" i="8"/>
  <c r="P12" i="8"/>
  <c r="K14" i="8"/>
  <c r="L13" i="8"/>
  <c r="L8" i="8"/>
  <c r="L9" i="8"/>
  <c r="L12" i="8"/>
  <c r="L4" i="8"/>
  <c r="L3" i="8"/>
  <c r="L2" i="8"/>
  <c r="F24" i="7"/>
  <c r="B6" i="8" s="1"/>
  <c r="B5" i="8"/>
  <c r="D24" i="7"/>
  <c r="B4" i="8" s="1"/>
  <c r="C24" i="7"/>
  <c r="K3" i="7" s="1"/>
  <c r="L3" i="7" l="1"/>
  <c r="N3" i="7" s="1"/>
  <c r="L20" i="8"/>
  <c r="B3" i="8"/>
  <c r="D5" i="8"/>
  <c r="B15" i="8"/>
  <c r="L14" i="8"/>
  <c r="P14" i="8"/>
  <c r="L5" i="8"/>
  <c r="D12" i="8"/>
  <c r="D13" i="8"/>
  <c r="D11" i="8"/>
  <c r="N6" i="7" l="1"/>
  <c r="B7" i="8"/>
  <c r="D3" i="8"/>
  <c r="D7" i="8" s="1"/>
  <c r="G7" i="8" s="1" a="1"/>
  <c r="G7" i="8" s="1"/>
  <c r="H9" i="8" s="1"/>
  <c r="K9" i="7"/>
  <c r="N7" i="7"/>
  <c r="N5" i="7"/>
  <c r="M4" i="7"/>
  <c r="M3" i="7" l="1"/>
  <c r="D14" i="8"/>
  <c r="N8" i="7"/>
  <c r="D15" i="8" l="1"/>
  <c r="G13" i="8" s="1" a="1"/>
  <c r="G13" i="8" s="1"/>
  <c r="H15" i="8" s="1"/>
  <c r="N9" i="7"/>
  <c r="M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4CBCD-9161-46D5-9638-4788EE3E77CE}" keepAlive="1" name="ModelConnection_ExternalData_1" description="Data Model" type="5" refreshedVersion="8" minRefreshableVersion="5" saveData="1">
    <dbPr connection="Data Model Connection" command="Gold Rate Srinaga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FEBBDE4-A80B-4E37-961C-C9DFC6D6F00C}" keepAlive="1" name="ModelConnection_ExternalData_2" description="Data Model" type="5" refreshedVersion="8" minRefreshableVersion="5" saveData="1">
    <dbPr connection="Data Model Connection" command="Silver Srinaga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7FF4399-D558-4D74-94AE-778F2E98F801}" keepAlive="1" name="ModelConnection_ExternalData_4" description="Data Model" type="5" refreshedVersion="8" minRefreshableVersion="5" saveData="1">
    <dbPr connection="Data Model Connection" command="Gold UA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24562C6-C1FF-4DEC-9B80-995FE09BBAAC}" keepAlive="1" name="ModelConnection_ExternalData_5" description="Data Model" type="5" refreshedVersion="8" minRefreshableVersion="5" saveData="1">
    <dbPr connection="Data Model Connection" command="Silver UA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4DE6DA4-599C-49BA-A6D3-50849C90FA32}" keepAlive="1" name="ModelConnection_ExternalData_6" description="Data Model" type="5" refreshedVersion="8" minRefreshableVersion="5" saveData="1">
    <dbPr connection="Data Model Connection" command="Currenci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ACE497E-28A1-488B-B0F6-498C1020CD4C}" name="Query - Currencies" description="Connection to the 'Currencies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4b43a755-791a-44aa-8458-be7b4491bd5d">
          <x15:oledbPr connection="Provider=Microsoft.Mashup.OleDb.1;Data Source=$Workbook$;Location=Currencies;Extended Properties=&quot;&quot;">
            <x15:dbTables>
              <x15:dbTable name="Currencies"/>
            </x15:dbTables>
          </x15:oledbPr>
        </x15:connection>
      </ext>
    </extLst>
  </connection>
  <connection id="7" xr16:uid="{45102884-29B1-45D9-896D-857C6216C677}" name="Query - Gold Rate Srinagar" description="Connection to the 'Gold Rate Srinagar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4868f2e7-cc02-43ab-aee7-66870465e327">
          <x15:oledbPr connection="Provider=Microsoft.Mashup.OleDb.1;Data Source=$Workbook$;Location=&quot;Gold Rate Srinagar&quot;;Extended Properties=&quot;&quot;">
            <x15:dbTables>
              <x15:dbTable name="Gold Rate Srinagar"/>
            </x15:dbTables>
          </x15:oledbPr>
        </x15:connection>
      </ext>
    </extLst>
  </connection>
  <connection id="8" xr16:uid="{970E43FA-49B8-4A30-91D3-FB06B72BFF4B}" name="Query - Gold UAE" description="Connection to the 'Gold UAE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4658516f-4d89-45db-9a05-e5add005714c">
          <x15:oledbPr connection="Provider=Microsoft.Mashup.OleDb.1;Data Source=$Workbook$;Location=&quot;Gold UAE&quot;;Extended Properties=&quot;&quot;">
            <x15:dbTables>
              <x15:dbTable name="Gold UAE"/>
            </x15:dbTables>
          </x15:oledbPr>
        </x15:connection>
      </ext>
    </extLst>
  </connection>
  <connection id="9" xr16:uid="{D48DB9A5-F144-4135-8915-9EA3390F10CC}" name="Query - Silver Srinagar" description="Connection to the 'Silver Srinagar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7a5754dd-d9f4-4b8c-8853-2a8255a8164c">
          <x15:oledbPr connection="Provider=Microsoft.Mashup.OleDb.1;Data Source=$Workbook$;Location=&quot;Silver Srinagar&quot;;Extended Properties=&quot;&quot;">
            <x15:dbTables>
              <x15:dbTable name="Silver Srinagar"/>
            </x15:dbTables>
          </x15:oledbPr>
        </x15:connection>
      </ext>
    </extLst>
  </connection>
  <connection id="10" xr16:uid="{F59D257E-3A72-4711-B9F0-EC1469C744FC}" name="Query - Silver UAE" description="Connection to the 'Silver UAE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720c597e-6c5f-4c54-9f96-fceee2dc0f12">
          <x15:oledbPr connection="Provider=Microsoft.Mashup.OleDb.1;Data Source=$Workbook$;Location=&quot;Silver UAE&quot;;Extended Properties=&quot;&quot;">
            <x15:dbTables>
              <x15:dbTable name="Silver UAE"/>
            </x15:dbTables>
          </x15:oledbPr>
        </x15:connection>
      </ext>
    </extLst>
  </connection>
  <connection id="11" xr16:uid="{6FDA7F49-2147-48E5-A66A-E5A687F367A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<sst xmlns="http://schemas.openxmlformats.org/spreadsheetml/2006/main" count="217" uniqueCount="151">
  <si>
    <t>22K</t>
  </si>
  <si>
    <t>18K</t>
  </si>
  <si>
    <t>Item</t>
  </si>
  <si>
    <t>Bracelet | Mahr</t>
  </si>
  <si>
    <t>Diamond Ring</t>
  </si>
  <si>
    <t>Total</t>
  </si>
  <si>
    <t>Silver Quran Reader</t>
  </si>
  <si>
    <t>Total Price</t>
  </si>
  <si>
    <t>Date</t>
  </si>
  <si>
    <t>2018-22</t>
  </si>
  <si>
    <t>INR</t>
  </si>
  <si>
    <t>IDFC</t>
  </si>
  <si>
    <t>HDFC</t>
  </si>
  <si>
    <t>Amount</t>
  </si>
  <si>
    <t>EPF</t>
  </si>
  <si>
    <t>Cash</t>
  </si>
  <si>
    <t>Ribah</t>
  </si>
  <si>
    <t>Zakat</t>
  </si>
  <si>
    <t>HSBC</t>
  </si>
  <si>
    <t>AED</t>
  </si>
  <si>
    <t>Darb</t>
  </si>
  <si>
    <t>Salik</t>
  </si>
  <si>
    <t>RTA Nol</t>
  </si>
  <si>
    <t>Zakat (for Gold in SXR)</t>
  </si>
  <si>
    <t>Purity</t>
  </si>
  <si>
    <t>21K</t>
  </si>
  <si>
    <t>Zakat (for Gold in DXB)</t>
  </si>
  <si>
    <t>24K</t>
  </si>
  <si>
    <t>#</t>
  </si>
  <si>
    <t>In AED</t>
  </si>
  <si>
    <t>In INR</t>
  </si>
  <si>
    <t>Sum</t>
  </si>
  <si>
    <t>Totals</t>
  </si>
  <si>
    <t>Gram(s)</t>
  </si>
  <si>
    <t>Statistics</t>
  </si>
  <si>
    <t>Gold</t>
  </si>
  <si>
    <t>Weight</t>
  </si>
  <si>
    <t>SXR_18</t>
  </si>
  <si>
    <t>SXR_22</t>
  </si>
  <si>
    <t>DXB_18</t>
  </si>
  <si>
    <t>DXB_22</t>
  </si>
  <si>
    <t>DXB_24</t>
  </si>
  <si>
    <t>DXB_21</t>
  </si>
  <si>
    <t>RAW Value</t>
  </si>
  <si>
    <t>v(INR)</t>
  </si>
  <si>
    <t>v(AED)</t>
  </si>
  <si>
    <t>Fils</t>
  </si>
  <si>
    <t>Dhs</t>
  </si>
  <si>
    <t>Smile Points</t>
  </si>
  <si>
    <t>1g Price</t>
  </si>
  <si>
    <t>Silver</t>
  </si>
  <si>
    <t>Silver DXB</t>
  </si>
  <si>
    <t>Zakat wt.</t>
  </si>
  <si>
    <t>Location</t>
  </si>
  <si>
    <t>Unit Price</t>
  </si>
  <si>
    <t>Dubai</t>
  </si>
  <si>
    <t>Kashmir</t>
  </si>
  <si>
    <t>Currency</t>
  </si>
  <si>
    <t>DXB</t>
  </si>
  <si>
    <t>Ribah Date</t>
  </si>
  <si>
    <t>Silver UAE</t>
  </si>
  <si>
    <t>1 Gram</t>
  </si>
  <si>
    <t>1 Ounce</t>
  </si>
  <si>
    <t>HDFC NRO</t>
  </si>
  <si>
    <t>Nisaab</t>
  </si>
  <si>
    <t># in AED</t>
  </si>
  <si>
    <t># in INR</t>
  </si>
  <si>
    <t>Kilo (AED)</t>
  </si>
  <si>
    <t>Kilo (USD)</t>
  </si>
  <si>
    <t>E&amp; Money</t>
  </si>
  <si>
    <t>Phone balance</t>
  </si>
  <si>
    <t>Other rewards</t>
  </si>
  <si>
    <t>Shukran</t>
  </si>
  <si>
    <t>Aura</t>
  </si>
  <si>
    <t>Amber</t>
  </si>
  <si>
    <t>Reward App</t>
  </si>
  <si>
    <t>Yes Rewards</t>
  </si>
  <si>
    <t>Emcan</t>
  </si>
  <si>
    <t>Aster</t>
  </si>
  <si>
    <t>Life</t>
  </si>
  <si>
    <t>E&amp;-M (Iflah)</t>
  </si>
  <si>
    <t>E&amp;-M (Aamer)</t>
  </si>
  <si>
    <t>Amazon</t>
  </si>
  <si>
    <t>Maf / CF</t>
  </si>
  <si>
    <t>SAR (Saudi Riyal)</t>
  </si>
  <si>
    <t>Brands for Less</t>
  </si>
  <si>
    <t>Security Deposit (Home / DEWA)</t>
  </si>
  <si>
    <t>10 Gram</t>
  </si>
  <si>
    <t>100 Gram</t>
  </si>
  <si>
    <t>1 Kilogram</t>
  </si>
  <si>
    <t>1 Tola</t>
  </si>
  <si>
    <t>Gold 24 Karat (Rs ₹)</t>
  </si>
  <si>
    <t>Gold 22 Karat (Rs ₹)</t>
  </si>
  <si>
    <t>Gold 20 Karat (Rs ₹)</t>
  </si>
  <si>
    <t>Gold 18 Karat (Rs ₹)</t>
  </si>
  <si>
    <t>Gold 16 Karat (Rs ₹)</t>
  </si>
  <si>
    <t>Gold 14 Karat (Rs ₹)</t>
  </si>
  <si>
    <t>Gold 12 Karat (Rs ₹)</t>
  </si>
  <si>
    <t>Gold 10 Karat (Rs ₹)</t>
  </si>
  <si>
    <t>Silver 999 Fine (Rs ₹)</t>
  </si>
  <si>
    <t>Silver 925 Sterling (Rs ₹)</t>
  </si>
  <si>
    <t>Silver 900 Coin (Rs ₹)</t>
  </si>
  <si>
    <t>Silver 800 German (Rs ₹)</t>
  </si>
  <si>
    <t>Column2</t>
  </si>
  <si>
    <t>Column3</t>
  </si>
  <si>
    <t>Column4</t>
  </si>
  <si>
    <t>Gold Kashmir</t>
  </si>
  <si>
    <t>Column5</t>
  </si>
  <si>
    <t>Ounce</t>
  </si>
  <si>
    <t>2 Ounce</t>
  </si>
  <si>
    <t>SIlver Kashmir</t>
  </si>
  <si>
    <t>Gold UAE</t>
  </si>
  <si>
    <t>Column32</t>
  </si>
  <si>
    <t>Currencies</t>
  </si>
  <si>
    <t>Indian Rupee (INR)</t>
  </si>
  <si>
    <t>Pakistani Rupee (PKR)</t>
  </si>
  <si>
    <t>Bangladesh Taka (BDT)</t>
  </si>
  <si>
    <t>Sri Lankan Rupee (LKR)</t>
  </si>
  <si>
    <t>Nepalese Rupee (NPR)</t>
  </si>
  <si>
    <t>Egyptian Pound (EGP)</t>
  </si>
  <si>
    <t>Philippines Peso (PHP)</t>
  </si>
  <si>
    <t>1g</t>
  </si>
  <si>
    <t>Grandiose</t>
  </si>
  <si>
    <t>Lime Bike</t>
  </si>
  <si>
    <t>3K</t>
  </si>
  <si>
    <t>Careem</t>
  </si>
  <si>
    <t>Noon</t>
  </si>
  <si>
    <t>Talabat</t>
  </si>
  <si>
    <t>Union Coop</t>
  </si>
  <si>
    <t>Smiles</t>
  </si>
  <si>
    <t>Temu</t>
  </si>
  <si>
    <t>Share</t>
  </si>
  <si>
    <t>25.37</t>
  </si>
  <si>
    <t>76.03</t>
  </si>
  <si>
    <t>33.35</t>
  </si>
  <si>
    <t>84.80</t>
  </si>
  <si>
    <t>40.70</t>
  </si>
  <si>
    <t>14.02</t>
  </si>
  <si>
    <t>16.33</t>
  </si>
  <si>
    <t/>
  </si>
  <si>
    <t>2026-March-22</t>
  </si>
  <si>
    <t>Person X</t>
  </si>
  <si>
    <t>Person Y</t>
  </si>
  <si>
    <t>RTA Parking</t>
  </si>
  <si>
    <t>Wife Account</t>
  </si>
  <si>
    <t>SIM 2</t>
  </si>
  <si>
    <t>SIM 1</t>
  </si>
  <si>
    <t>Ribah Amount</t>
  </si>
  <si>
    <t>Rent paid in advance</t>
  </si>
  <si>
    <t xml:space="preserve">10 UK pound </t>
  </si>
  <si>
    <t>necklace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</si>
</sst>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7"/>
      </left>
      <right/>
      <top style="thin">
        <color theme="7"/>
      </top>
      <bottom style="medium">
        <color theme="7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 style="thin">
        <color theme="7"/>
      </right>
      <top style="thin">
        <color theme="7"/>
      </top>
      <bottom style="medium">
        <color theme="7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2">
    <xf numFmtId="0" fontId="0" fillId="0" borderId="0" xfId="0"/>
    <xf numFmtId="43" fontId="2" fillId="4" borderId="11" xfId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19" xfId="1" applyFont="1" applyBorder="1" applyAlignment="1">
      <alignment horizontal="center"/>
    </xf>
    <xf numFmtId="43" fontId="0" fillId="0" borderId="20" xfId="1" applyFon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16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5" fillId="0" borderId="7" xfId="0" applyFont="1" applyBorder="1"/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43" fontId="0" fillId="0" borderId="0" xfId="0" applyNumberFormat="1"/>
    <xf numFmtId="43" fontId="1" fillId="0" borderId="0" xfId="0" applyNumberFormat="1" applyFont="1"/>
    <xf numFmtId="0" fontId="5" fillId="0" borderId="16" xfId="0" applyFont="1" applyBorder="1" applyAlignment="1">
      <alignment horizontal="right"/>
    </xf>
    <xf numFmtId="0" fontId="5" fillId="0" borderId="19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43" fontId="1" fillId="0" borderId="22" xfId="0" applyNumberFormat="1" applyFont="1" applyBorder="1"/>
    <xf numFmtId="0" fontId="1" fillId="0" borderId="0" xfId="0" applyFont="1"/>
    <xf numFmtId="43" fontId="0" fillId="0" borderId="21" xfId="0" applyNumberFormat="1" applyBorder="1"/>
    <xf numFmtId="0" fontId="1" fillId="0" borderId="22" xfId="0" applyFont="1" applyBorder="1"/>
    <xf numFmtId="43" fontId="5" fillId="0" borderId="0" xfId="0" applyNumberFormat="1" applyFont="1" applyAlignment="1">
      <alignment horizontal="center"/>
    </xf>
    <xf numFmtId="43" fontId="0" fillId="6" borderId="0" xfId="0" applyNumberFormat="1" applyFill="1"/>
    <xf numFmtId="43" fontId="5" fillId="3" borderId="11" xfId="0" applyNumberFormat="1" applyFont="1" applyFill="1" applyBorder="1"/>
    <xf numFmtId="43" fontId="1" fillId="3" borderId="11" xfId="0" applyNumberFormat="1" applyFont="1" applyFill="1" applyBorder="1"/>
    <xf numFmtId="43" fontId="2" fillId="3" borderId="11" xfId="0" applyNumberFormat="1" applyFon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43" fontId="0" fillId="0" borderId="0" xfId="0" applyNumberFormat="1" applyAlignment="1">
      <alignment horizontal="right"/>
    </xf>
    <xf numFmtId="0" fontId="5" fillId="0" borderId="27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43" fontId="0" fillId="0" borderId="1" xfId="0" applyNumberFormat="1" applyBorder="1"/>
    <xf numFmtId="43" fontId="2" fillId="3" borderId="1" xfId="0" applyNumberFormat="1" applyFont="1" applyFill="1" applyBorder="1"/>
    <xf numFmtId="43" fontId="1" fillId="0" borderId="9" xfId="0" applyNumberFormat="1" applyFont="1" applyBorder="1"/>
    <xf numFmtId="43" fontId="2" fillId="10" borderId="10" xfId="0" applyNumberFormat="1" applyFont="1" applyFill="1" applyBorder="1"/>
    <xf numFmtId="43" fontId="1" fillId="0" borderId="28" xfId="0" applyNumberFormat="1" applyFont="1" applyBorder="1"/>
    <xf numFmtId="43" fontId="0" fillId="0" borderId="29" xfId="0" applyNumberFormat="1" applyBorder="1"/>
    <xf numFmtId="43" fontId="2" fillId="3" borderId="29" xfId="0" applyNumberFormat="1" applyFont="1" applyFill="1" applyBorder="1"/>
    <xf numFmtId="43" fontId="2" fillId="11" borderId="30" xfId="0" applyNumberFormat="1" applyFont="1" applyFill="1" applyBorder="1"/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7" borderId="0" xfId="0" applyFill="1"/>
    <xf numFmtId="0" fontId="2" fillId="12" borderId="9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43" fontId="0" fillId="12" borderId="1" xfId="0" applyNumberFormat="1" applyFill="1" applyBorder="1"/>
    <xf numFmtId="15" fontId="0" fillId="12" borderId="1" xfId="0" applyNumberFormat="1" applyFill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14" borderId="16" xfId="0" applyFont="1" applyFill="1" applyBorder="1" applyAlignment="1">
      <alignment horizontal="center"/>
    </xf>
    <xf numFmtId="43" fontId="5" fillId="15" borderId="6" xfId="0" applyNumberFormat="1" applyFont="1" applyFill="1" applyBorder="1" applyAlignment="1">
      <alignment horizontal="center"/>
    </xf>
    <xf numFmtId="43" fontId="5" fillId="15" borderId="8" xfId="0" applyNumberFormat="1" applyFont="1" applyFill="1" applyBorder="1" applyAlignment="1">
      <alignment horizontal="center"/>
    </xf>
    <xf numFmtId="43" fontId="5" fillId="15" borderId="7" xfId="0" applyNumberFormat="1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13" borderId="0" xfId="0" applyNumberFormat="1" applyFill="1"/>
    <xf numFmtId="0" fontId="0" fillId="17" borderId="4" xfId="0" applyFill="1" applyBorder="1"/>
    <xf numFmtId="0" fontId="0" fillId="17" borderId="5" xfId="0" applyFill="1" applyBorder="1"/>
    <xf numFmtId="0" fontId="2" fillId="16" borderId="2" xfId="0" applyFont="1" applyFill="1" applyBorder="1"/>
    <xf numFmtId="0" fontId="2" fillId="16" borderId="3" xfId="0" applyFont="1" applyFill="1" applyBorder="1"/>
    <xf numFmtId="0" fontId="0" fillId="17" borderId="6" xfId="0" applyFill="1" applyBorder="1"/>
    <xf numFmtId="0" fontId="0" fillId="17" borderId="8" xfId="0" applyFill="1" applyBorder="1"/>
    <xf numFmtId="0" fontId="6" fillId="18" borderId="0" xfId="0" applyFont="1" applyFill="1"/>
    <xf numFmtId="0" fontId="0" fillId="0" borderId="16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19" borderId="1" xfId="0" applyFont="1" applyFill="1" applyBorder="1"/>
    <xf numFmtId="0" fontId="0" fillId="20" borderId="2" xfId="0" applyFill="1" applyBorder="1"/>
    <xf numFmtId="0" fontId="8" fillId="21" borderId="1" xfId="0" applyFont="1" applyFill="1" applyBorder="1"/>
    <xf numFmtId="0" fontId="0" fillId="8" borderId="5" xfId="0" applyFill="1" applyBorder="1"/>
    <xf numFmtId="0" fontId="0" fillId="8" borderId="1" xfId="0" applyFill="1" applyBorder="1"/>
    <xf numFmtId="0" fontId="6" fillId="18" borderId="0" xfId="0" applyFont="1" applyFill="1" applyAlignment="1">
      <alignment horizontal="right"/>
    </xf>
    <xf numFmtId="0" fontId="0" fillId="22" borderId="1" xfId="0" applyFill="1" applyBorder="1"/>
    <xf numFmtId="43" fontId="0" fillId="22" borderId="1" xfId="0" applyNumberFormat="1" applyFill="1" applyBorder="1"/>
    <xf numFmtId="43" fontId="1" fillId="2" borderId="15" xfId="0" applyNumberFormat="1" applyFont="1" applyFill="1" applyBorder="1" applyAlignment="1">
      <alignment horizontal="center"/>
    </xf>
    <xf numFmtId="43" fontId="1" fillId="2" borderId="23" xfId="0" applyNumberFormat="1" applyFont="1" applyFill="1" applyBorder="1" applyAlignment="1">
      <alignment horizontal="center"/>
    </xf>
    <xf numFmtId="43" fontId="1" fillId="2" borderId="14" xfId="0" applyNumberFormat="1" applyFont="1" applyFill="1" applyBorder="1" applyAlignment="1">
      <alignment horizontal="center"/>
    </xf>
    <xf numFmtId="43" fontId="3" fillId="5" borderId="12" xfId="1" applyFont="1" applyFill="1" applyBorder="1" applyAlignment="1">
      <alignment horizontal="center" vertical="center"/>
    </xf>
    <xf numFmtId="43" fontId="3" fillId="5" borderId="13" xfId="1" applyFont="1" applyFill="1" applyBorder="1" applyAlignment="1">
      <alignment horizontal="center" vertical="center"/>
    </xf>
    <xf numFmtId="43" fontId="3" fillId="5" borderId="17" xfId="1" applyFont="1" applyFill="1" applyBorder="1" applyAlignment="1">
      <alignment horizontal="center" vertical="center"/>
    </xf>
    <xf numFmtId="43" fontId="3" fillId="5" borderId="18" xfId="1" applyFont="1" applyFill="1" applyBorder="1" applyAlignment="1">
      <alignment horizontal="center" vertical="center"/>
    </xf>
    <xf numFmtId="0" fontId="2" fillId="12" borderId="33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7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5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5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medium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theme="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numFmt numFmtId="35" formatCode="_(* #,##0.00_);_(* \(#,##0.00\);_(* &quot;-&quot;??_);_(@_)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numFmt numFmtId="35" formatCode="_(* #,##0.00_);_(* \(#,##0.00\);_(* &quot;-&quot;??_);_(@_)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(* #,##0.00_);_(* \(#,##0.00\);_(* &quot;-&quot;??_);_(@_)"/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(* #,##0.00_);_(* \(#,##0.00\);_(* &quot;-&quot;??_);_(@_)"/>
    </dxf>
    <dxf>
      <font>
        <b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3</xdr:row>
      <xdr:rowOff>9525</xdr:rowOff>
    </xdr:from>
    <xdr:to>
      <xdr:col>7</xdr:col>
      <xdr:colOff>457203</xdr:colOff>
      <xdr:row>11</xdr:row>
      <xdr:rowOff>187328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2D65C76A-9E1F-0852-B809-84C119936350}"/>
            </a:ext>
          </a:extLst>
        </xdr:cNvPr>
        <xdr:cNvCxnSpPr/>
      </xdr:nvCxnSpPr>
      <xdr:spPr>
        <a:xfrm rot="16200000" flipH="1">
          <a:off x="4375150" y="777875"/>
          <a:ext cx="1743078" cy="1387478"/>
        </a:xfrm>
        <a:prstGeom prst="bentConnector3">
          <a:avLst>
            <a:gd name="adj1" fmla="val 78415"/>
          </a:avLst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3</xdr:row>
      <xdr:rowOff>171450</xdr:rowOff>
    </xdr:from>
    <xdr:to>
      <xdr:col>9</xdr:col>
      <xdr:colOff>3175</xdr:colOff>
      <xdr:row>6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9221B91-A245-4AA2-8422-E3BEF7795207}"/>
            </a:ext>
          </a:extLst>
        </xdr:cNvPr>
        <xdr:cNvCxnSpPr/>
      </xdr:nvCxnSpPr>
      <xdr:spPr>
        <a:xfrm flipH="1">
          <a:off x="5029200" y="762000"/>
          <a:ext cx="361950" cy="4191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6</xdr:row>
      <xdr:rowOff>111125</xdr:rowOff>
    </xdr:from>
    <xdr:to>
      <xdr:col>6</xdr:col>
      <xdr:colOff>6350</xdr:colOff>
      <xdr:row>7</xdr:row>
      <xdr:rowOff>28575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AE837E2-9A29-4086-96E5-6173E1011914}"/>
            </a:ext>
          </a:extLst>
        </xdr:cNvPr>
        <xdr:cNvCxnSpPr/>
      </xdr:nvCxnSpPr>
      <xdr:spPr>
        <a:xfrm>
          <a:off x="3660775" y="1292225"/>
          <a:ext cx="1219200" cy="1143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13</xdr:row>
      <xdr:rowOff>57150</xdr:rowOff>
    </xdr:from>
    <xdr:to>
      <xdr:col>6</xdr:col>
      <xdr:colOff>3175</xdr:colOff>
      <xdr:row>14</xdr:row>
      <xdr:rowOff>107950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47ED4AC-BB5A-4F56-95DA-77D1257381DF}"/>
            </a:ext>
          </a:extLst>
        </xdr:cNvPr>
        <xdr:cNvCxnSpPr/>
      </xdr:nvCxnSpPr>
      <xdr:spPr>
        <a:xfrm flipV="1">
          <a:off x="3663950" y="2587625"/>
          <a:ext cx="603250" cy="2476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800100</xdr:colOff>
      <xdr:row>6</xdr:row>
      <xdr:rowOff>152400</xdr:rowOff>
    </xdr:from>
    <xdr:to>
      <xdr:col>9</xdr:col>
      <xdr:colOff>9525</xdr:colOff>
      <xdr:row>7</xdr:row>
      <xdr:rowOff>50800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7556BFB-4A3F-41CF-ABB5-EF193CC3E690}"/>
            </a:ext>
          </a:extLst>
        </xdr:cNvPr>
        <xdr:cNvCxnSpPr/>
      </xdr:nvCxnSpPr>
      <xdr:spPr>
        <a:xfrm flipH="1">
          <a:off x="5673725" y="1314450"/>
          <a:ext cx="625475" cy="952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336550</xdr:colOff>
      <xdr:row>3</xdr:row>
      <xdr:rowOff>12700</xdr:rowOff>
    </xdr:from>
    <xdr:to>
      <xdr:col>7</xdr:col>
      <xdr:colOff>250825</xdr:colOff>
      <xdr:row>6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4692B82-D5D7-48BC-AA92-78643912A9F7}"/>
            </a:ext>
          </a:extLst>
        </xdr:cNvPr>
        <xdr:cNvCxnSpPr/>
      </xdr:nvCxnSpPr>
      <xdr:spPr>
        <a:xfrm>
          <a:off x="5210175" y="603250"/>
          <a:ext cx="523875" cy="5969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</xdr:colOff>
      <xdr:row>13</xdr:row>
      <xdr:rowOff>171449</xdr:rowOff>
    </xdr:from>
    <xdr:to>
      <xdr:col>15</xdr:col>
      <xdr:colOff>6351</xdr:colOff>
      <xdr:row>14</xdr:row>
      <xdr:rowOff>111120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90F84164-C128-2A07-190D-2FDE01D3EB6B}"/>
            </a:ext>
          </a:extLst>
        </xdr:cNvPr>
        <xdr:cNvCxnSpPr/>
      </xdr:nvCxnSpPr>
      <xdr:spPr>
        <a:xfrm rot="10800000" flipV="1">
          <a:off x="5149855" y="2720974"/>
          <a:ext cx="4810121" cy="136521"/>
        </a:xfrm>
        <a:prstGeom prst="bentConnector3">
          <a:avLst>
            <a:gd name="adj1" fmla="val 42607"/>
          </a:avLst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6CF30A7-771C-4EC4-8D86-E2D265B75FB4}" autoFormatId="16" applyNumberFormats="0" applyBorderFormats="0" applyFontFormats="0" applyPatternFormats="0" applyAlignmentFormats="0" applyWidthHeightFormats="0">
  <queryTableRefresh nextId="10">
    <queryTableFields count="7">
      <queryTableField id="8" name="Gold Kashmir" tableColumnId="8"/>
      <queryTableField id="2" name="1 Gram" tableColumnId="2"/>
      <queryTableField id="3" name="10 Gram" tableColumnId="3"/>
      <queryTableField id="4" name="100 Gram" tableColumnId="4"/>
      <queryTableField id="5" name="1 Kilogram" tableColumnId="5"/>
      <queryTableField id="6" name="1 Ounce" tableColumnId="6"/>
      <queryTableField id="7" name="1 Tola" tableColumnId="7"/>
    </queryTableFields>
  </queryTableRefresh>
  <extLst>
    <ext xmlns:x15="http://schemas.microsoft.com/office/spreadsheetml/2010/11/main" uri="{883FBD77-0823-4a55-B5E3-86C4891E6966}">
      <x15:queryTable sourceDataName="Query - Gold Rate Srinaga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9AD36016-6D97-498E-B6AA-3B6BBAF28EDD}" autoFormatId="16" applyNumberFormats="0" applyBorderFormats="0" applyFontFormats="0" applyPatternFormats="0" applyAlignmentFormats="0" applyWidthHeightFormats="0">
  <queryTableRefresh nextId="12">
    <queryTableFields count="8">
      <queryTableField id="9" name="SIlver Kashmir" tableColumnId="9"/>
      <queryTableField id="2" name="1 Gram" tableColumnId="2"/>
      <queryTableField id="3" name="10 Gram" tableColumnId="3"/>
      <queryTableField id="4" name="100 Gram" tableColumnId="4"/>
      <queryTableField id="5" name="1 Kilogram" tableColumnId="5"/>
      <queryTableField id="8" dataBound="0" tableColumnId="8"/>
      <queryTableField id="6" name="1 Ounce" tableColumnId="6"/>
      <queryTableField id="7" name="1 Tola" tableColumnId="7"/>
    </queryTableFields>
  </queryTableRefresh>
  <extLst>
    <ext xmlns:x15="http://schemas.microsoft.com/office/spreadsheetml/2010/11/main" uri="{883FBD77-0823-4a55-B5E3-86C4891E6966}">
      <x15:queryTable sourceDataName="Query - Silver Srinaga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C859672F-65E1-4011-92F2-0B95DB0CDA66}" autoFormatId="16" applyNumberFormats="0" applyBorderFormats="0" applyFontFormats="0" applyPatternFormats="0" applyAlignmentFormats="0" applyWidthHeightFormats="0">
  <queryTableRefresh nextId="9">
    <queryTableFields count="6">
      <queryTableField id="6" name="Gold UAE" tableColumnId="6"/>
      <queryTableField id="2" name="Column2" tableColumnId="2"/>
      <queryTableField id="3" name="Column3" tableColumnId="3"/>
      <queryTableField id="8" dataBound="0" tableColumnId="7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Gold UA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2B74383D-0230-499F-9530-D55E6CFE27E4}" autoFormatId="16" applyNumberFormats="0" applyBorderFormats="0" applyFontFormats="0" applyPatternFormats="0" applyAlignmentFormats="0" applyWidthHeightFormats="0">
  <queryTableRefresh nextId="8" unboundColumnsRight="1">
    <queryTableFields count="5">
      <queryTableField id="5" name="Silver UAE" tableColumnId="5"/>
      <queryTableField id="2" name="Column2" tableColumnId="2"/>
      <queryTableField id="3" name="Column3" tableColumnId="3"/>
      <queryTableField id="4" name="Column4" tableColumnId="4"/>
      <queryTableField id="7" dataBound="0" tableColumnId="1"/>
    </queryTableFields>
  </queryTableRefresh>
  <extLst>
    <ext xmlns:x15="http://schemas.microsoft.com/office/spreadsheetml/2010/11/main" uri="{883FBD77-0823-4a55-B5E3-86C4891E6966}">
      <x15:queryTable sourceDataName="Query - Silver UA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8FB0F71D-B689-479E-8FF6-D15A0CBBAC11}" autoFormatId="16" applyNumberFormats="0" applyBorderFormats="0" applyFontFormats="0" applyPatternFormats="0" applyAlignmentFormats="0" applyWidthHeightFormats="0">
  <queryTableRefresh nextId="5">
    <queryTableFields count="4">
      <queryTableField id="1" name="Currencies" tableColumnId="1"/>
      <queryTableField id="2" name="Column2" tableColumnId="2"/>
      <queryTableField id="3" name="Column3" tableColumnId="3"/>
      <queryTableField id="4" name="Column4" tableColumnId="4"/>
    </queryTableFields>
  </queryTableRefresh>
  <extLst>
    <ext xmlns:x15="http://schemas.microsoft.com/office/spreadsheetml/2010/11/main" uri="{883FBD77-0823-4a55-B5E3-86C4891E6966}">
      <x15:queryTable sourceDataName="Query - Currencies"/>
    </ext>
  </extLst>
</queryTable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456833-10B8-4C44-B086-68BBF500A2B9}" name="Table15" displayName="Table15" ref="A2:D7" totalsRowCount="1" headerRowDxfId="139" totalsRowDxfId="138">
  <tableColumns count="4">
    <tableColumn id="1" xr3:uid="{75AF34BC-3859-4D89-93E2-35608AE95E2E}" name="Purity" totalsRowLabel="Total" dataDxfId="137" totalsRowDxfId="136"/>
    <tableColumn id="2" xr3:uid="{B3B2C023-FD72-45E0-B13C-ADEB64C67D5D}" name="Gram(s)" totalsRowFunction="sum" dataDxfId="135" totalsRowDxfId="134">
      <calculatedColumnFormula array="1">#REF!/40</calculatedColumnFormula>
    </tableColumn>
    <tableColumn id="3" xr3:uid="{6AD78582-73C6-40D0-ABCA-736871D3203C}" name="1g Price" dataDxfId="133" totalsRowDxfId="132"/>
    <tableColumn id="4" xr3:uid="{C1C74962-0554-4390-A193-1D7142476957}" name="Total Price" totalsRowFunction="sum" dataDxfId="131" totalsRowDxfId="130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54CA2D-B37F-4E66-AD38-FBBE6E0C4F0D}" name="Table16" displayName="Table16" ref="A10:D15" totalsRowCount="1" headerRowDxfId="129" totalsRowDxfId="128">
  <tableColumns count="4">
    <tableColumn id="1" xr3:uid="{2EC7FC02-EF7B-44DC-8908-1F9C714F78C4}" name="Purity" totalsRowLabel="Total" dataDxfId="127" totalsRowDxfId="126"/>
    <tableColumn id="2" xr3:uid="{4DD85667-3CB8-47D4-9B5F-D476592A29A9}" name="Gram(s)" totalsRowFunction="sum" dataDxfId="125" totalsRowDxfId="124"/>
    <tableColumn id="3" xr3:uid="{E6234898-4C13-41D3-9781-906B2D2541F5}" name="1g Price" dataDxfId="123" totalsRowDxfId="122">
      <calculatedColumnFormula>'#'!#REF!</calculatedColumnFormula>
    </tableColumn>
    <tableColumn id="4" xr3:uid="{5A523678-37B2-421A-BE20-663BB1FCA6AC}" name="Total Price" totalsRowFunction="sum" totalsRowDxfId="121">
      <calculatedColumnFormula>Table16[[#This Row],[Gram(s)]]*Table16[[#This Row],[1g Price]]</calculatedColumnFormula>
    </tableColumn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1D4E77-B3A9-41D5-AE4E-9429EA9E60F5}" name="Table18" displayName="Table18" ref="J1:L5" totalsRowCount="1" headerRowDxfId="120" headerRowBorderDxfId="119" tableBorderDxfId="118">
  <autoFilter ref="J1:L4" xr:uid="{101D4E77-B3A9-41D5-AE4E-9429EA9E60F5}"/>
  <tableColumns count="3">
    <tableColumn id="1" xr3:uid="{7EF6D192-B736-4A83-97C5-1408F43EA138}" name="Wife Account" totalsRowLabel="Total" dataDxfId="117"/>
    <tableColumn id="2" xr3:uid="{9CAEFBB4-9F20-448C-9303-DBE1AB91DEDA}" name="Amount" totalsRowFunction="sum" dataDxfId="116" totalsRowDxfId="115"/>
    <tableColumn id="3" xr3:uid="{DB07A449-4911-4806-93F7-E4A89FAB4A15}" name="Zakat" totalsRowFunction="sum" dataDxfId="114" totalsRowDxfId="1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E59056B-901B-4E2B-802E-BB14AF6325D3}" name="Table19" displayName="Table19" ref="J7:L14" totalsRowCount="1" headerRowDxfId="112" headerRowBorderDxfId="111" tableBorderDxfId="110">
  <autoFilter ref="J7:L13" xr:uid="{6E59056B-901B-4E2B-802E-BB14AF6325D3}"/>
  <tableColumns count="3">
    <tableColumn id="1" xr3:uid="{CEFB4D52-C66D-4049-A360-104395625D02}" name="INR" totalsRowLabel="Total" dataDxfId="109"/>
    <tableColumn id="2" xr3:uid="{A4E7DE71-76EC-45DF-9020-ADB9D694EABD}" name="Amount" totalsRowFunction="sum" dataDxfId="108" totalsRowDxfId="107"/>
    <tableColumn id="3" xr3:uid="{CD16402B-110D-4321-A5AE-5509AD1C178E}" name="Zakat" totalsRowFunction="sum" dataDxfId="106" totalsRowDxfId="105">
      <calculatedColumnFormula>Table19[[#This Row],[Amount]]/40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99191F8-5895-4374-B0EA-AF69BF9FFAF6}" name="Table20" displayName="Table20" ref="N1:P14" totalsRowCount="1" headerRowDxfId="104" dataDxfId="103">
  <autoFilter ref="N1:P13" xr:uid="{599191F8-5895-4374-B0EA-AF69BF9FFAF6}"/>
  <tableColumns count="3">
    <tableColumn id="1" xr3:uid="{9B4B56CA-EF05-4EE8-85E2-BDB9599CD6B4}" name="AED" totalsRowLabel="Total" dataDxfId="102" totalsRowDxfId="101"/>
    <tableColumn id="2" xr3:uid="{14729B82-7299-410E-8556-072728440A60}" name="Amount" totalsRowFunction="sum" dataDxfId="100" totalsRowDxfId="99"/>
    <tableColumn id="3" xr3:uid="{0AE36E4B-5212-4225-A342-94295FD46F90}" name="Zakat" totalsRowFunction="sum" dataDxfId="98" totalsRowDxfId="97">
      <calculatedColumnFormula>Table20[[#This Row],[Amount]]/40</calculatedColumnFormula>
    </tableColumn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60066BF-2D57-4E22-AF39-E011CE92F341}" name="Table23" displayName="Table23" ref="F2:G3" totalsRowShown="0" headerRowDxfId="96" dataDxfId="94" headerRowBorderDxfId="95" tableBorderDxfId="93" totalsRowBorderDxfId="92">
  <tableColumns count="2">
    <tableColumn id="1" xr3:uid="{BD9CC227-4CCA-4214-ADAC-60738ED29B4F}" name="DXB" dataDxfId="91">
      <calculatedColumnFormula>Inventory!N20</calculatedColumnFormula>
    </tableColumn>
    <tableColumn id="2" xr3:uid="{08C7B50C-EF2D-4446-A25F-D786CF72EBA0}" name="Kashmir" dataDxfId="90">
      <calculatedColumnFormula>Inventory!N21</calculatedColumnFormula>
    </tableColumn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463126-C3A2-4EE7-9334-5C6F1AFF1841}" name="Table11" displayName="Table11" ref="A1:H24" totalsRowCount="1" headerRowDxfId="89" dataDxfId="87" totalsRowDxfId="85" headerRowBorderDxfId="88" tableBorderDxfId="86" totalsRowBorderDxfId="84">
  <tableColumns count="8">
    <tableColumn id="1" xr3:uid="{122D35DD-AC5F-421D-A654-5FFCFB1B61F7}" name="#" dataDxfId="83" totalsRowDxfId="19"/>
    <tableColumn id="2" xr3:uid="{FE1F976C-A58A-4D94-9D88-F669D3EF416B}" name="Item" totalsRowLabel="Totals" dataDxfId="82" totalsRowDxfId="18"/>
    <tableColumn id="3" xr3:uid="{2DEA408F-1B84-42B7-B71D-3D6E7BA8B33C}" name="18K" totalsRowFunction="sum" dataDxfId="81" totalsRowDxfId="17"/>
    <tableColumn id="4" xr3:uid="{A9001517-0C66-45B1-8ADA-1DAB660E61C6}" name="21K" totalsRowFunction="sum" dataDxfId="80" totalsRowDxfId="16"/>
    <tableColumn id="5" xr3:uid="{C66BAE32-E03C-4C58-BB48-8211E22462AD}" name="22K" totalsRowFunction="sum" dataDxfId="79" totalsRowDxfId="15"/>
    <tableColumn id="6" xr3:uid="{DE0B616E-C227-40E4-9C9A-7BCAC934ED31}" name="24K" totalsRowFunction="sum" dataDxfId="78" totalsRowDxfId="14"/>
    <tableColumn id="8" xr3:uid="{CBA5BD36-3B4D-491C-B412-12E38774C8FB}" name="Silver" totalsRowFunction="sum" dataDxfId="77" totalsRowDxfId="13"/>
    <tableColumn id="7" xr3:uid="{9339322E-B70B-4704-B7A7-CBFBD355FF00}" name="Date" dataDxfId="76" totalsRowDxfId="12"/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06282-8C54-404E-9AD6-3AA7FFB23D97}" name="Table2" displayName="Table2" ref="J2:N9" totalsRowCount="1" headerRowDxfId="75">
  <tableColumns count="5">
    <tableColumn id="1" xr3:uid="{60B00135-CE32-403B-BAC8-07993CD78588}" name="Gold" totalsRowLabel="Sum"/>
    <tableColumn id="2" xr3:uid="{DA82CCA7-132D-4379-B520-24E5B67291E7}" name="Weight" totalsRowFunction="sum" dataDxfId="74" totalsRowDxfId="11"/>
    <tableColumn id="3" xr3:uid="{F58C2E54-A252-4E0C-BB93-6B3605ADB352}" name="RAW Value" dataDxfId="73" totalsRowDxfId="10"/>
    <tableColumn id="4" xr3:uid="{19CD1074-5F64-4900-8333-F89E75AE7A15}" name="v(INR)" totalsRowFunction="sum" dataDxfId="72" totalsRowDxfId="9"/>
    <tableColumn id="5" xr3:uid="{6DD1BD00-9268-4B42-B275-762DA14ECF18}" name="v(AED)" totalsRowFunction="sum" dataDxfId="71" totalsRowDxfId="8"/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49022C-625B-47E8-9DAA-5BFE012A8945}" name="Table114" displayName="Table114" ref="A26:H32" totalsRowCount="1" headerRowDxfId="70" dataDxfId="68" totalsRowDxfId="66" headerRowBorderDxfId="69" tableBorderDxfId="67" totalsRowBorderDxfId="65">
  <tableColumns count="8">
    <tableColumn id="1" xr3:uid="{891DE635-0C2E-44E9-8144-CE345A53F4E7}" name="#" dataDxfId="64" totalsRowDxfId="63"/>
    <tableColumn id="2" xr3:uid="{974E94ED-10E1-42FF-8B99-00DFDAE720BE}" name="Item" totalsRowLabel="Totals" dataDxfId="62" totalsRowDxfId="61"/>
    <tableColumn id="3" xr3:uid="{D6C515D9-9FEB-4289-AF4A-6F06DA71DE1F}" name="18K" totalsRowFunction="sum" dataDxfId="60" totalsRowDxfId="59"/>
    <tableColumn id="4" xr3:uid="{BC427388-03C9-4D9D-95D3-D1D21CCEBD39}" name="21K" totalsRowFunction="sum" dataDxfId="58" totalsRowDxfId="57"/>
    <tableColumn id="5" xr3:uid="{E524C1B3-9145-40AB-A778-829E17B87C72}" name="22K" totalsRowFunction="sum" dataDxfId="56" totalsRowDxfId="55"/>
    <tableColumn id="6" xr3:uid="{68EA50B7-8096-48F5-B23D-1D14F14EB41E}" name="24K" totalsRowFunction="sum" dataDxfId="54" totalsRowDxfId="53"/>
    <tableColumn id="8" xr3:uid="{016B8807-EB0C-4E87-AB49-5061A7C14479}" name="Silver" totalsRowFunction="sum" dataDxfId="52" totalsRowDxfId="51"/>
    <tableColumn id="7" xr3:uid="{F5B99616-BC92-4F55-A151-1EFFE90D072D}" name="Date" dataDxfId="50" totalsRowDxfId="49"/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AD8DD-3148-4B96-9A89-AC4DAECB65D1}" name="Table1" displayName="Table1" ref="J11:L12" totalsRowShown="0" headerRowDxfId="48" headerRowBorderDxfId="47" tableBorderDxfId="46" totalsRowBorderDxfId="45">
  <tableColumns count="3">
    <tableColumn id="1" xr3:uid="{E97022F8-3928-44A2-9A8C-F80F64EF5F93}" name="Smile Points" dataDxfId="44"/>
    <tableColumn id="3" xr3:uid="{B76533FB-3714-479F-A699-322B1A165030}" name="Fils" dataDxfId="43">
      <calculatedColumnFormula>Table1[[#This Row],[Smile Points]]*0.8</calculatedColumnFormula>
    </tableColumn>
    <tableColumn id="2" xr3:uid="{D6CFCEDC-D9F8-49D8-8D2D-EEDD0DE1D1AD}" name="Dhs" dataDxfId="42">
      <calculatedColumnFormula>(Table1[[#This Row],[Smile Points]]/125)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92F745-6369-4084-97B5-0492BA92A316}" name="Table17" displayName="Table17" ref="J14:L15" totalsRowShown="0" headerRowDxfId="41" headerRowBorderDxfId="40" tableBorderDxfId="39" totalsRowBorderDxfId="38">
  <tableColumns count="3">
    <tableColumn id="1" xr3:uid="{245A0C6B-30BF-41BF-8C50-AD60F9C484E1}" name="SIM 1" dataDxfId="37"/>
    <tableColumn id="3" xr3:uid="{BD450533-DDF7-44F7-86EE-DFAD204DAB99}" name="SIM 2" dataDxfId="36"/>
    <tableColumn id="2" xr3:uid="{D3EF9538-47A1-4BF0-95D0-E6E9C235900F}" name="Total" dataDxfId="35">
      <calculatedColumnFormula>SUM(Table17[[#This Row],[SIM 1]:[SIM 2]])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BA6BBA-FD8C-43E5-BF33-D9FAAC496273}" name="Table13" displayName="Table13" ref="J19:O21" totalsRowShown="0" headerRowDxfId="34">
  <tableColumns count="6">
    <tableColumn id="4" xr3:uid="{1DEDB9B9-0E79-4141-83FC-13DD242D160C}" name="Location" dataDxfId="33"/>
    <tableColumn id="1" xr3:uid="{1B583840-8874-409C-A267-A91FCC36081B}" name="Weight" dataDxfId="32"/>
    <tableColumn id="3" xr3:uid="{1314BDAF-9FDC-414B-971A-CE618FA2397A}" name="Zakat wt." dataDxfId="31"/>
    <tableColumn id="5" xr3:uid="{5675DA45-17EC-4D77-86DD-1A30C73FBCD2}" name="Unit Price" dataDxfId="30"/>
    <tableColumn id="2" xr3:uid="{0356999E-D0BA-4651-B2BB-9020A5F1FB98}" name="Zakat" dataDxfId="29"/>
    <tableColumn id="6" xr3:uid="{CB1C607D-F65E-4015-8DAD-8C18922B70D9}" name="Currency" dataDxfId="28"/>
  </tableColumns>
  <tableStyleInfo name="TableStyleMedium2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EC8C649-ADD0-4EBA-9833-6726392B1F04}" name="Table1723" displayName="Table1723" ref="J24:L26" totalsRowShown="0" headerRowDxfId="27" dataDxfId="25" headerRowBorderDxfId="26" tableBorderDxfId="24" totalsRowBorderDxfId="23">
  <tableColumns count="3">
    <tableColumn id="1" xr3:uid="{2702A5A4-8F3C-43AC-ACEA-A3AD96DE962E}" name="Nisaab" dataDxfId="22"/>
    <tableColumn id="3" xr3:uid="{38E1D117-048F-4723-887C-E3A5CED700B2}" name="Gold" dataDxfId="21"/>
    <tableColumn id="4" xr3:uid="{D91EB408-874F-480F-AFA9-DEAC7AB71E06}" name="Silver" dataDxfId="20">
      <calculatedColumnFormula>595*'#'!#REF!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DF7A78F-DA87-49B8-9837-60E981DEEB88}" name="Table41" displayName="Table41" ref="J28:K50" totalsRowCount="1" headerRowDxfId="7" headerRowBorderDxfId="5" tableBorderDxfId="6" totalsRowBorderDxfId="4">
  <autoFilter ref="J28:K49" xr:uid="{9DF7A78F-DA87-49B8-9837-60E981DEEB88}"/>
  <tableColumns count="2">
    <tableColumn id="1" xr3:uid="{6A6916E9-E887-4A46-860F-47571A33470B}" name="Reward App" totalsRowLabel="Total" dataDxfId="2" totalsRowDxfId="3"/>
    <tableColumn id="2" xr3:uid="{928AF362-BB1D-424D-B8F1-DFCDA5D3C4FF}" name="Amount" totalsRowFunction="sum" dataDxfId="0" totalsRowDxfId="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FA5A08-A299-402A-8432-83BC8C2E3E9F}" name="Gold_Rate_Srinagar" displayName="Gold_Rate_Srinagar" ref="A1:G9" tableType="queryTable" totalsRowShown="0" headerRowDxfId="180">
  <autoFilter ref="A1:G9" xr:uid="{74FA5A08-A299-402A-8432-83BC8C2E3E9F}"/>
  <tableColumns count="7">
    <tableColumn id="8" xr3:uid="{CA3E48F4-3B36-43A8-9D2E-9CD40067D99E}" uniqueName="8" name="Gold Kashmir" queryTableFieldId="8" dataDxfId="179"/>
    <tableColumn id="2" xr3:uid="{2A3CD149-A19F-4D6E-A785-89FF12937665}" uniqueName="2" name="1 Gram" queryTableFieldId="2" dataDxfId="178"/>
    <tableColumn id="3" xr3:uid="{0B49C466-D7AC-468C-A7E9-89E62D68159B}" uniqueName="3" name="10 Gram" queryTableFieldId="3" dataDxfId="177"/>
    <tableColumn id="4" xr3:uid="{23B0B838-0FD6-4E03-8A06-51FEF7FFCDC6}" uniqueName="4" name="100 Gram" queryTableFieldId="4" dataDxfId="176"/>
    <tableColumn id="5" xr3:uid="{22830CC9-1FC7-4FEC-8111-15D2DEE8D16C}" uniqueName="5" name="1 Kilogram" queryTableFieldId="5" dataDxfId="175"/>
    <tableColumn id="6" xr3:uid="{0EDF3B6A-8416-414E-88D9-125BBFD46EB7}" uniqueName="6" name="1 Ounce" queryTableFieldId="6" dataDxfId="174"/>
    <tableColumn id="7" xr3:uid="{AD196B03-24E5-4FD9-8475-E3419BE1785A}" uniqueName="7" name="1 Tola" queryTableFieldId="7" dataDxfId="17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00A6D6-0E1F-462E-9BB7-EFE65EF6AD97}" name="Silver_Srinagar" displayName="Silver_Srinagar" ref="A11:H15" tableType="queryTable" totalsRowShown="0" headerRowDxfId="172">
  <autoFilter ref="A11:H15" xr:uid="{C100A6D6-0E1F-462E-9BB7-EFE65EF6AD97}"/>
  <tableColumns count="8">
    <tableColumn id="9" xr3:uid="{38CA11AD-635F-41AB-9123-BC64EA5E2E91}" uniqueName="9" name="SIlver Kashmir" queryTableFieldId="9" dataDxfId="171"/>
    <tableColumn id="2" xr3:uid="{E628B657-2373-4B6C-A281-70B9A12E0D8D}" uniqueName="2" name="1 Gram" queryTableFieldId="2" dataDxfId="170"/>
    <tableColumn id="3" xr3:uid="{FAC3E083-4807-4EC5-8919-4F3D1FF16C8F}" uniqueName="3" name="10 Gram" queryTableFieldId="3" dataDxfId="169"/>
    <tableColumn id="4" xr3:uid="{1EBCC6D1-D4BE-47C3-912D-45D2023DC7C3}" uniqueName="4" name="100 Gram" queryTableFieldId="4" dataDxfId="168"/>
    <tableColumn id="5" xr3:uid="{29B0D720-1324-47DA-95F5-4B1C4284F092}" uniqueName="5" name="1 Kilogram" queryTableFieldId="5" dataDxfId="167"/>
    <tableColumn id="8" xr3:uid="{1C277AE3-4BA4-4AF5-A193-0E88070302D0}" uniqueName="8" name="2 Ounce" queryTableFieldId="8" dataDxfId="166"/>
    <tableColumn id="6" xr3:uid="{98E9CE07-70F5-4246-8309-4BE7932ECBA7}" uniqueName="6" name="1 Ounce" queryTableFieldId="6" dataDxfId="165"/>
    <tableColumn id="7" xr3:uid="{70E79365-2AC8-46E7-8B51-C995BFEEE6B8}" uniqueName="7" name="1 Tola" queryTableFieldId="7" dataDxfId="16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0614DF-EEAC-4AF4-BA8A-BE2399355478}" name="Gold_UAE" displayName="Gold_UAE" ref="J1:O6" tableType="queryTable" totalsRowShown="0" headerRowDxfId="163">
  <autoFilter ref="J1:O6" xr:uid="{2A0614DF-EEAC-4AF4-BA8A-BE2399355478}"/>
  <tableColumns count="6">
    <tableColumn id="6" xr3:uid="{3D0006FF-6A4F-4BFB-BCD0-8E85C1CF72B8}" uniqueName="6" name="Gold UAE" queryTableFieldId="6" dataDxfId="162"/>
    <tableColumn id="2" xr3:uid="{0D1C98D1-3590-4980-B98D-6D2E991CBEDC}" uniqueName="2" name="Column2" queryTableFieldId="2" dataDxfId="161"/>
    <tableColumn id="3" xr3:uid="{7AFF59A3-3C7B-47FB-8B75-ECCDF7315A16}" uniqueName="3" name="Column3" queryTableFieldId="3" dataDxfId="160"/>
    <tableColumn id="7" xr3:uid="{AA54D987-EBB0-4523-8043-6221085F251E}" uniqueName="7" name="Column32" queryTableFieldId="8" dataDxfId="159"/>
    <tableColumn id="4" xr3:uid="{1F78496E-072F-4568-A486-3D6E7AC92F01}" uniqueName="4" name="Column4" queryTableFieldId="4" dataDxfId="158"/>
    <tableColumn id="5" xr3:uid="{2F35A4DF-E512-41F9-A01F-63D3574A1BA7}" uniqueName="5" name="Column5" queryTableFieldId="5" dataDxfId="15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647918C-78D7-4592-92DB-0E1028A66D9A}" name="Silver_UAE" displayName="Silver_UAE" ref="J11:N13" tableType="queryTable" totalsRowShown="0" headerRowDxfId="156" headerRowBorderDxfId="155" tableBorderDxfId="154" totalsRowBorderDxfId="153">
  <autoFilter ref="J11:N13" xr:uid="{9647918C-78D7-4592-92DB-0E1028A66D9A}"/>
  <tableColumns count="5">
    <tableColumn id="5" xr3:uid="{BF4FBAF9-98CC-4AA5-95E5-9993E2A6B72F}" uniqueName="5" name="Silver UAE" queryTableFieldId="5" dataDxfId="152"/>
    <tableColumn id="2" xr3:uid="{3588A4CE-9841-4D21-B7CB-164FF8B9D525}" uniqueName="2" name="Column2" queryTableFieldId="2" dataDxfId="151"/>
    <tableColumn id="3" xr3:uid="{2D94A0E2-5DAB-4F54-8C1C-BD8B987713D5}" uniqueName="3" name="Column3" queryTableFieldId="3" dataDxfId="150"/>
    <tableColumn id="4" xr3:uid="{C100EFE9-15A0-480F-B0E9-2582F9902BF4}" uniqueName="4" name="Column4" queryTableFieldId="4" dataDxfId="149"/>
    <tableColumn id="1" xr3:uid="{EB1696E7-AA12-4DF9-814E-EB8B516B8CA5}" uniqueName="1" name="1g" queryTableFieldId="7" dataDxfId="148">
      <calculatedColumnFormula>Silver_UAE[[#This Row],[Column2]]/1000</calculatedColumnFormula>
    </tableColumn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2F216D-7B8B-41F4-9982-340DF6D2B192}" name="Currencies" displayName="Currencies" ref="A17:D24" tableType="queryTable" totalsRowShown="0" headerRowDxfId="147" headerRowBorderDxfId="146" tableBorderDxfId="145" totalsRowBorderDxfId="144">
  <autoFilter ref="A17:D24" xr:uid="{D42F216D-7B8B-41F4-9982-340DF6D2B192}"/>
  <tableColumns count="4">
    <tableColumn id="1" xr3:uid="{54AA377C-076E-4BA4-AFDE-F9A624CA849B}" uniqueName="1" name="Currencies" queryTableFieldId="1" dataDxfId="143"/>
    <tableColumn id="2" xr3:uid="{9AA9CD2C-F044-4CC9-855E-7C543E880258}" uniqueName="2" name="Column2" queryTableFieldId="2" dataDxfId="142"/>
    <tableColumn id="3" xr3:uid="{E9753CEF-41A5-4F43-BA6E-59A3E13000EE}" uniqueName="3" name="Column3" queryTableFieldId="3" dataDxfId="141"/>
    <tableColumn id="4" xr3:uid="{ED1A3C44-F8BD-4CA1-BD91-A6C953CD79EF}" uniqueName="4" name="Column4" queryTableFieldId="4" dataDxfId="1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0B0F-B44C-4707-91A3-309A6E11848A}">
  <dimension ref="A1:R24"/>
  <sheetViews>
    <sheetView tabSelected="1" zoomScaleNormal="100" workbookViewId="0">
      <selection activeCell="H15" sqref="H15"/>
    </sheetView>
  </sheetViews>
  <sheetFormatPr defaultRowHeight="14.25" x14ac:dyDescent="0.45"/>
  <cols>
    <col min="2" max="2" width="10.73046875" customWidth="1"/>
    <col min="3" max="3" width="9.86328125" bestFit="1" customWidth="1"/>
    <col min="4" max="4" width="13" customWidth="1"/>
    <col min="5" max="5" width="3.3984375" customWidth="1"/>
    <col min="8" max="8" width="11.53125" bestFit="1" customWidth="1"/>
    <col min="9" max="9" width="3.3984375" customWidth="1"/>
    <col min="10" max="10" width="10.53125" customWidth="1"/>
    <col min="11" max="11" width="13.265625" bestFit="1" customWidth="1"/>
    <col min="12" max="12" width="10.53125" bestFit="1" customWidth="1"/>
    <col min="13" max="13" width="3.3984375" customWidth="1"/>
    <col min="14" max="14" width="15.73046875" customWidth="1"/>
    <col min="15" max="15" width="14.3984375" bestFit="1" customWidth="1"/>
    <col min="16" max="16" width="9.53125" bestFit="1" customWidth="1"/>
    <col min="17" max="17" width="3.3984375" customWidth="1"/>
    <col min="18" max="18" width="3.73046875" customWidth="1"/>
  </cols>
  <sheetData>
    <row r="1" spans="1:18" ht="14.65" thickBot="1" x14ac:dyDescent="0.5">
      <c r="A1" s="87" t="s">
        <v>23</v>
      </c>
      <c r="B1" s="88"/>
      <c r="C1" s="88"/>
      <c r="D1" s="89"/>
      <c r="F1" s="94" t="s">
        <v>50</v>
      </c>
      <c r="G1" s="95"/>
      <c r="J1" s="26" t="s">
        <v>144</v>
      </c>
      <c r="K1" s="26" t="s">
        <v>13</v>
      </c>
      <c r="L1" s="26" t="s">
        <v>17</v>
      </c>
      <c r="N1" s="18" t="s">
        <v>19</v>
      </c>
      <c r="O1" s="18" t="s">
        <v>13</v>
      </c>
      <c r="P1" s="18" t="s">
        <v>17</v>
      </c>
      <c r="R1" s="50"/>
    </row>
    <row r="2" spans="1:18" ht="14.65" thickBot="1" x14ac:dyDescent="0.5">
      <c r="A2" s="28" t="s">
        <v>24</v>
      </c>
      <c r="B2" s="28" t="s">
        <v>33</v>
      </c>
      <c r="C2" s="28" t="s">
        <v>49</v>
      </c>
      <c r="D2" s="28" t="s">
        <v>7</v>
      </c>
      <c r="F2" s="51" t="s">
        <v>58</v>
      </c>
      <c r="G2" s="52" t="s">
        <v>56</v>
      </c>
      <c r="J2" s="18" t="s">
        <v>12</v>
      </c>
      <c r="K2" s="18">
        <v>35000</v>
      </c>
      <c r="L2" s="18">
        <f>Table18[[#This Row],[Amount]]/40</f>
        <v>875</v>
      </c>
      <c r="N2" s="18" t="s">
        <v>18</v>
      </c>
      <c r="O2" s="18">
        <v>100000</v>
      </c>
      <c r="P2" s="18">
        <f>Table20[[#This Row],[Amount]]/40</f>
        <v>2500</v>
      </c>
      <c r="R2" s="50"/>
    </row>
    <row r="3" spans="1:18" ht="14.65" thickBot="1" x14ac:dyDescent="0.5">
      <c r="A3" s="18" t="s">
        <v>1</v>
      </c>
      <c r="B3" s="18">
        <f>Table11[[#Totals],[18K]]/40</f>
        <v>5.9749999999999996</v>
      </c>
      <c r="C3" s="18">
        <f>'#'!B5</f>
        <v>10913</v>
      </c>
      <c r="D3" s="18">
        <f>Table15[[#This Row],[Gram(s)]]*Table15[[#This Row],[1g Price]]</f>
        <v>65205.174999999996</v>
      </c>
      <c r="F3" s="31">
        <f>Inventory!N20</f>
        <v>32.337499999999999</v>
      </c>
      <c r="G3" s="31">
        <f>Inventory!N21</f>
        <v>1881</v>
      </c>
      <c r="J3" s="18" t="s">
        <v>15</v>
      </c>
      <c r="K3" s="18">
        <v>1000</v>
      </c>
      <c r="L3" s="18">
        <f>Table18[[#This Row],[Amount]]/40</f>
        <v>25</v>
      </c>
      <c r="N3" s="18" t="s">
        <v>20</v>
      </c>
      <c r="O3" s="18">
        <v>40</v>
      </c>
      <c r="P3" s="18">
        <f>Table20[[#This Row],[Amount]]/40</f>
        <v>1</v>
      </c>
      <c r="R3" s="50"/>
    </row>
    <row r="4" spans="1:18" ht="14.65" thickBot="1" x14ac:dyDescent="0.5">
      <c r="A4" s="18" t="s">
        <v>25</v>
      </c>
      <c r="B4" s="18">
        <f>Table11[[#Totals],[21K]]/40</f>
        <v>3.85</v>
      </c>
      <c r="C4" s="29"/>
      <c r="D4" s="18"/>
      <c r="J4" s="18" t="s">
        <v>16</v>
      </c>
      <c r="K4" s="18">
        <v>4000</v>
      </c>
      <c r="L4" s="18">
        <f>Table18[[#This Row],[Amount]]</f>
        <v>4000</v>
      </c>
      <c r="N4" s="18" t="s">
        <v>143</v>
      </c>
      <c r="O4" s="18">
        <v>117</v>
      </c>
      <c r="P4" s="18">
        <f>Table20[[#This Row],[Amount]]/40</f>
        <v>2.9249999999999998</v>
      </c>
      <c r="R4" s="50"/>
    </row>
    <row r="5" spans="1:18" ht="14.65" thickBot="1" x14ac:dyDescent="0.5">
      <c r="A5" s="18" t="s">
        <v>0</v>
      </c>
      <c r="B5" s="18">
        <f>Table11[[#Totals],[22K]]/40</f>
        <v>10.562499999999998</v>
      </c>
      <c r="C5" s="18">
        <f>'#'!B3</f>
        <v>13338</v>
      </c>
      <c r="D5" s="18">
        <f>Table15[[#This Row],[Gram(s)]]*Table15[[#This Row],[1g Price]]</f>
        <v>140882.62499999997</v>
      </c>
      <c r="J5" t="s">
        <v>5</v>
      </c>
      <c r="K5" s="18">
        <f>SUBTOTAL(109,Table18[Amount])</f>
        <v>40000</v>
      </c>
      <c r="L5" s="30">
        <f>SUBTOTAL(109,Table18[Zakat])</f>
        <v>4900</v>
      </c>
      <c r="N5" s="18" t="s">
        <v>21</v>
      </c>
      <c r="O5" s="18">
        <v>184</v>
      </c>
      <c r="P5" s="18">
        <f>Table20[[#This Row],[Amount]]/40</f>
        <v>4.5999999999999996</v>
      </c>
      <c r="R5" s="50"/>
    </row>
    <row r="6" spans="1:18" ht="14.65" thickBot="1" x14ac:dyDescent="0.5">
      <c r="A6" s="18" t="s">
        <v>27</v>
      </c>
      <c r="B6" s="18">
        <f>Table11[[#Totals],[24K]]/40</f>
        <v>0</v>
      </c>
      <c r="C6" s="29"/>
      <c r="D6" s="18"/>
      <c r="G6" s="1" t="s">
        <v>10</v>
      </c>
      <c r="H6" s="2"/>
      <c r="N6" s="18" t="s">
        <v>86</v>
      </c>
      <c r="O6" s="18">
        <v>5600</v>
      </c>
      <c r="P6" s="18">
        <f>Table20[[#This Row],[Amount]]/40</f>
        <v>140</v>
      </c>
      <c r="R6" s="50"/>
    </row>
    <row r="7" spans="1:18" ht="14.65" thickBot="1" x14ac:dyDescent="0.5">
      <c r="A7" s="25" t="s">
        <v>5</v>
      </c>
      <c r="B7" s="19">
        <f>SUBTOTAL(109,Table15[Gram(s)])</f>
        <v>20.387499999999996</v>
      </c>
      <c r="C7" s="19"/>
      <c r="D7" s="31">
        <f>SUBTOTAL(109,Table15[Total Price])</f>
        <v>206087.79999999996</v>
      </c>
      <c r="G7" s="90" cm="1">
        <f t="array" ref="G7">Table15[[#Totals],[Total Price]]+Table18[[#Totals],[Zakat]]+Table19[[#Totals],[Zakat]]+Table23[Kashmir]</f>
        <v>229763.79999999996</v>
      </c>
      <c r="H7" s="91"/>
      <c r="J7" s="26" t="s">
        <v>10</v>
      </c>
      <c r="K7" s="26" t="s">
        <v>13</v>
      </c>
      <c r="L7" s="26" t="s">
        <v>17</v>
      </c>
      <c r="N7" s="18" t="s">
        <v>69</v>
      </c>
      <c r="O7" s="18">
        <v>7231.1</v>
      </c>
      <c r="P7" s="18">
        <f>Table20[[#This Row],[Amount]]/40</f>
        <v>180.7775</v>
      </c>
      <c r="R7" s="50"/>
    </row>
    <row r="8" spans="1:18" ht="14.65" thickBot="1" x14ac:dyDescent="0.5">
      <c r="G8" s="92"/>
      <c r="H8" s="93"/>
      <c r="J8" s="18" t="s">
        <v>11</v>
      </c>
      <c r="K8" s="18">
        <v>10000</v>
      </c>
      <c r="L8" s="18">
        <f>Table19[[#This Row],[Amount]]/40</f>
        <v>250</v>
      </c>
      <c r="N8" s="18" t="s">
        <v>148</v>
      </c>
      <c r="O8" s="18">
        <v>2000</v>
      </c>
      <c r="P8" s="18">
        <f>Table20[[#This Row],[Amount]]/40</f>
        <v>50</v>
      </c>
      <c r="R8" s="50"/>
    </row>
    <row r="9" spans="1:18" ht="14.65" thickBot="1" x14ac:dyDescent="0.5">
      <c r="A9" s="87" t="s">
        <v>26</v>
      </c>
      <c r="B9" s="88"/>
      <c r="C9" s="88"/>
      <c r="D9" s="89"/>
      <c r="G9" s="3" t="s">
        <v>29</v>
      </c>
      <c r="H9" s="4">
        <f>G7/'#'!D18</f>
        <v>9056.5155695703561</v>
      </c>
      <c r="J9" s="18" t="s">
        <v>12</v>
      </c>
      <c r="K9" s="18">
        <v>30000</v>
      </c>
      <c r="L9" s="18">
        <f>Table19[[#This Row],[Amount]]/40</f>
        <v>750</v>
      </c>
      <c r="N9" s="18" t="s">
        <v>70</v>
      </c>
      <c r="O9" s="67" cm="1">
        <f t="array" ref="O9">Table17[Total]</f>
        <v>37.04</v>
      </c>
      <c r="P9" s="18">
        <f>Table20[[#This Row],[Amount]]/40</f>
        <v>0.92599999999999993</v>
      </c>
      <c r="R9" s="50"/>
    </row>
    <row r="10" spans="1:18" x14ac:dyDescent="0.45">
      <c r="A10" s="28" t="s">
        <v>24</v>
      </c>
      <c r="B10" s="28" t="s">
        <v>33</v>
      </c>
      <c r="C10" s="28" t="s">
        <v>49</v>
      </c>
      <c r="D10" s="28" t="s">
        <v>7</v>
      </c>
      <c r="J10" s="18" t="s">
        <v>63</v>
      </c>
      <c r="K10" s="18">
        <v>40000</v>
      </c>
      <c r="L10" s="18">
        <f>Table19[[#This Row],[Amount]]/40</f>
        <v>1000</v>
      </c>
      <c r="N10" s="18" t="s">
        <v>22</v>
      </c>
      <c r="O10" s="18">
        <v>400</v>
      </c>
      <c r="P10" s="18">
        <f>Table20[[#This Row],[Amount]]/40</f>
        <v>10</v>
      </c>
      <c r="R10" s="50"/>
    </row>
    <row r="11" spans="1:18" ht="14.65" thickBot="1" x14ac:dyDescent="0.5">
      <c r="A11" s="18" t="s">
        <v>1</v>
      </c>
      <c r="B11" s="18">
        <f>Table114[[#Totals],[18K]]/40</f>
        <v>20</v>
      </c>
      <c r="C11" s="18">
        <f>'#'!K6</f>
        <v>405.97</v>
      </c>
      <c r="D11" s="18">
        <f>Table16[[#This Row],[Gram(s)]]*Table16[[#This Row],[1g Price]]</f>
        <v>8119.4000000000005</v>
      </c>
      <c r="J11" s="18" t="s">
        <v>14</v>
      </c>
      <c r="K11" s="18">
        <v>100000</v>
      </c>
      <c r="L11" s="18">
        <f>Table19[[#This Row],[Amount]]/40</f>
        <v>2500</v>
      </c>
      <c r="N11" s="18" t="s">
        <v>84</v>
      </c>
      <c r="O11" s="18">
        <v>220</v>
      </c>
      <c r="P11" s="18">
        <f>Table20[[#This Row],[Amount]]/40</f>
        <v>5.5</v>
      </c>
      <c r="R11" s="50"/>
    </row>
    <row r="12" spans="1:18" ht="14.65" thickBot="1" x14ac:dyDescent="0.5">
      <c r="A12" s="18" t="s">
        <v>25</v>
      </c>
      <c r="B12" s="18">
        <f>Table114[[#Totals],[21K]]/40</f>
        <v>0</v>
      </c>
      <c r="C12" s="18">
        <f>'#'!K5</f>
        <v>473.64</v>
      </c>
      <c r="D12" s="18">
        <f>Table16[[#This Row],[Gram(s)]]*Table16[[#This Row],[1g Price]]</f>
        <v>0</v>
      </c>
      <c r="G12" s="1" t="s">
        <v>19</v>
      </c>
      <c r="H12" s="2"/>
      <c r="J12" s="18" t="s">
        <v>15</v>
      </c>
      <c r="K12" s="18">
        <v>2000</v>
      </c>
      <c r="L12" s="18">
        <f>Table19[[#This Row],[Amount]]/40</f>
        <v>50</v>
      </c>
      <c r="N12" s="18" t="s">
        <v>15</v>
      </c>
      <c r="O12" s="18">
        <v>53354</v>
      </c>
      <c r="P12" s="18">
        <f>Table20[[#This Row],[Amount]]/40</f>
        <v>1333.85</v>
      </c>
      <c r="R12" s="50"/>
    </row>
    <row r="13" spans="1:18" ht="14.65" thickBot="1" x14ac:dyDescent="0.5">
      <c r="A13" s="18" t="s">
        <v>0</v>
      </c>
      <c r="B13" s="18">
        <f>Table114[[#Totals],[22K]]/40</f>
        <v>1.3</v>
      </c>
      <c r="C13" s="18">
        <f>'#'!K4</f>
        <v>496.19</v>
      </c>
      <c r="D13" s="18">
        <f>Table16[[#This Row],[Gram(s)]]*Table16[[#This Row],[1g Price]]</f>
        <v>645.04700000000003</v>
      </c>
      <c r="G13" s="90" cm="1">
        <f t="array" ref="G13">Table16[[#Totals],[Total Price]]+Table20[[#Totals],[Zakat]]+Table23[DXB]</f>
        <v>13037.376200000001</v>
      </c>
      <c r="H13" s="91"/>
      <c r="J13" s="18" t="s">
        <v>16</v>
      </c>
      <c r="K13" s="18">
        <v>12345</v>
      </c>
      <c r="L13" s="18">
        <f>Table19[[#This Row],[Amount]]</f>
        <v>12345</v>
      </c>
      <c r="N13" s="18" t="s">
        <v>71</v>
      </c>
      <c r="O13" s="67">
        <f>Table41[[#Totals],[Amount]]</f>
        <v>440.52800000000008</v>
      </c>
      <c r="P13" s="18">
        <f>Table20[[#This Row],[Amount]]/40</f>
        <v>11.013200000000001</v>
      </c>
      <c r="R13" s="50"/>
    </row>
    <row r="14" spans="1:18" ht="14.65" thickBot="1" x14ac:dyDescent="0.5">
      <c r="A14" s="18" t="s">
        <v>27</v>
      </c>
      <c r="B14" s="18">
        <f>Table114[[#Totals],[24K]]/40</f>
        <v>0</v>
      </c>
      <c r="C14" s="18">
        <f>'#'!K3</f>
        <v>541.29999999999995</v>
      </c>
      <c r="D14" s="18">
        <f>Table16[[#This Row],[Gram(s)]]*Table16[[#This Row],[1g Price]]</f>
        <v>0</v>
      </c>
      <c r="G14" s="92"/>
      <c r="H14" s="93"/>
      <c r="J14" t="s">
        <v>5</v>
      </c>
      <c r="K14" s="18">
        <f>SUBTOTAL(109,Table19[Amount])</f>
        <v>194345</v>
      </c>
      <c r="L14" s="30">
        <f>SUBTOTAL(109,Table19[Zakat])</f>
        <v>16895</v>
      </c>
      <c r="N14" s="25" t="s">
        <v>5</v>
      </c>
      <c r="O14" s="19">
        <f>SUBTOTAL(109,Table20[Amount])</f>
        <v>169623.66800000001</v>
      </c>
      <c r="P14" s="31">
        <f>SUBTOTAL(109,Table20[Zakat])</f>
        <v>4240.5916999999999</v>
      </c>
      <c r="R14" s="50"/>
    </row>
    <row r="15" spans="1:18" ht="14.65" thickBot="1" x14ac:dyDescent="0.5">
      <c r="A15" s="25" t="s">
        <v>5</v>
      </c>
      <c r="B15" s="19">
        <f>SUBTOTAL(109,Table16[Gram(s)])</f>
        <v>21.3</v>
      </c>
      <c r="C15" s="19"/>
      <c r="D15" s="32">
        <f>SUBTOTAL(109,Table16[Total Price])</f>
        <v>8764.4470000000001</v>
      </c>
      <c r="G15" s="3" t="s">
        <v>30</v>
      </c>
      <c r="H15" s="4">
        <f>G13*'#'!D18</f>
        <v>330758.23419400002</v>
      </c>
      <c r="R15" s="50"/>
    </row>
    <row r="16" spans="1:18" x14ac:dyDescent="0.45">
      <c r="R16" s="50"/>
    </row>
    <row r="17" spans="1:18" x14ac:dyDescent="0.4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</row>
    <row r="19" spans="1:18" x14ac:dyDescent="0.45">
      <c r="C19" s="55" t="s">
        <v>59</v>
      </c>
      <c r="D19" s="56" t="s">
        <v>140</v>
      </c>
    </row>
    <row r="20" spans="1:18" x14ac:dyDescent="0.45">
      <c r="K20" s="85" t="s">
        <v>147</v>
      </c>
      <c r="L20" s="86">
        <f>L13+L4</f>
        <v>16345</v>
      </c>
    </row>
    <row r="21" spans="1:18" x14ac:dyDescent="0.45">
      <c r="C21" s="74" t="s">
        <v>141</v>
      </c>
      <c r="D21" s="74">
        <v>100</v>
      </c>
    </row>
    <row r="24" spans="1:18" x14ac:dyDescent="0.45">
      <c r="C24" s="74" t="s">
        <v>142</v>
      </c>
      <c r="D24" s="84" t="s">
        <v>124</v>
      </c>
    </row>
  </sheetData>
  <mergeCells count="5">
    <mergeCell ref="A1:D1"/>
    <mergeCell ref="A9:D9"/>
    <mergeCell ref="G7:H8"/>
    <mergeCell ref="G13:H14"/>
    <mergeCell ref="F1:G1"/>
  </mergeCells>
  <pageMargins left="0.7" right="0.7" top="0.75" bottom="0.75" header="0.3" footer="0.3"/>
  <pageSetup orientation="portrait" r:id="rId1"/>
  <headerFooter>
    <oddFooter>&amp;C_x000D_&amp;1#&amp;"Calibri"&amp;12&amp;K000000 e&amp; - Confidential</oddFooter>
  </headerFooter>
  <ignoredErrors>
    <ignoredError sqref="B3:B6 L13 C11:C14" calculatedColumn="1"/>
  </ignoredErrors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EC0E-F4FA-45F0-B20A-5E1DEF84FABB}">
  <dimension ref="A1:P50"/>
  <sheetViews>
    <sheetView topLeftCell="A19" zoomScale="90" zoomScaleNormal="90" workbookViewId="0">
      <selection activeCell="M32" sqref="M32:M42"/>
    </sheetView>
  </sheetViews>
  <sheetFormatPr defaultRowHeight="14.25" x14ac:dyDescent="0.45"/>
  <cols>
    <col min="1" max="1" width="4.53125" customWidth="1"/>
    <col min="2" max="2" width="33.86328125" bestFit="1" customWidth="1"/>
    <col min="6" max="6" width="8.86328125" bestFit="1" customWidth="1"/>
    <col min="9" max="9" width="4.1328125" customWidth="1"/>
    <col min="10" max="10" width="13.73046875" customWidth="1"/>
    <col min="11" max="11" width="13.59765625" customWidth="1"/>
    <col min="12" max="12" width="14.06640625" customWidth="1"/>
    <col min="13" max="13" width="13.53125" customWidth="1"/>
    <col min="14" max="14" width="13.73046875" bestFit="1" customWidth="1"/>
    <col min="15" max="15" width="6.59765625" customWidth="1"/>
  </cols>
  <sheetData>
    <row r="1" spans="1:14" ht="14.65" thickBot="1" x14ac:dyDescent="0.5">
      <c r="A1" s="21" t="s">
        <v>28</v>
      </c>
      <c r="B1" s="22" t="s">
        <v>2</v>
      </c>
      <c r="C1" s="22" t="s">
        <v>1</v>
      </c>
      <c r="D1" s="22" t="s">
        <v>25</v>
      </c>
      <c r="E1" s="22" t="s">
        <v>0</v>
      </c>
      <c r="F1" s="22" t="s">
        <v>27</v>
      </c>
      <c r="G1" s="36" t="s">
        <v>50</v>
      </c>
      <c r="H1" s="23" t="s">
        <v>8</v>
      </c>
      <c r="J1" s="96" t="s">
        <v>34</v>
      </c>
      <c r="K1" s="97"/>
      <c r="L1" s="97"/>
      <c r="M1" s="97"/>
      <c r="N1" s="98"/>
    </row>
    <row r="2" spans="1:14" x14ac:dyDescent="0.45">
      <c r="A2" s="10">
        <v>1</v>
      </c>
      <c r="B2" s="9" t="s">
        <v>149</v>
      </c>
      <c r="C2" s="20"/>
      <c r="D2" s="20"/>
      <c r="E2" s="20">
        <v>100</v>
      </c>
      <c r="F2" s="20"/>
      <c r="G2" s="37"/>
      <c r="H2" s="11" t="s">
        <v>9</v>
      </c>
      <c r="J2" s="33" t="s">
        <v>35</v>
      </c>
      <c r="K2" s="33" t="s">
        <v>36</v>
      </c>
      <c r="L2" s="33" t="s">
        <v>43</v>
      </c>
      <c r="M2" s="33" t="s">
        <v>44</v>
      </c>
      <c r="N2" s="33" t="s">
        <v>45</v>
      </c>
    </row>
    <row r="3" spans="1:14" x14ac:dyDescent="0.45">
      <c r="A3" s="12">
        <v>2</v>
      </c>
      <c r="B3" s="13" t="s">
        <v>150</v>
      </c>
      <c r="C3" s="17"/>
      <c r="D3" s="17"/>
      <c r="E3" s="17">
        <v>20.2</v>
      </c>
      <c r="F3" s="17"/>
      <c r="G3" s="38"/>
      <c r="H3" s="15">
        <v>2019</v>
      </c>
      <c r="J3" t="s">
        <v>37</v>
      </c>
      <c r="K3" s="35">
        <f>Table11[[#Totals],[18K]]</f>
        <v>239</v>
      </c>
      <c r="L3" s="35">
        <f>'#'!B5*Table2[[#This Row],[Weight]]</f>
        <v>2608207</v>
      </c>
      <c r="M3" s="35">
        <f>Table2[[#This Row],[RAW Value]]</f>
        <v>2608207</v>
      </c>
      <c r="N3" s="35">
        <f>Table2[[#This Row],[RAW Value]]/'#'!D18</f>
        <v>102806.74024438312</v>
      </c>
    </row>
    <row r="4" spans="1:14" x14ac:dyDescent="0.45">
      <c r="A4" s="10">
        <v>3</v>
      </c>
      <c r="B4" s="13"/>
      <c r="C4" s="17">
        <v>150</v>
      </c>
      <c r="D4" s="17">
        <v>100</v>
      </c>
      <c r="E4" s="17"/>
      <c r="F4" s="17"/>
      <c r="G4" s="38"/>
      <c r="H4" s="15">
        <v>2019</v>
      </c>
      <c r="J4" t="s">
        <v>38</v>
      </c>
      <c r="K4" s="35">
        <f>Table11[[#Totals],[22K]]</f>
        <v>422.49999999999994</v>
      </c>
      <c r="L4" s="35">
        <f>'#'!B3*Table2[[#This Row],[Weight]]</f>
        <v>5635304.9999999991</v>
      </c>
      <c r="M4" s="35">
        <f>Table2[[#This Row],[RAW Value]]</f>
        <v>5635304.9999999991</v>
      </c>
      <c r="N4" s="35">
        <f>Table2[[#This Row],[RAW Value]]/'#'!D18</f>
        <v>222124.75364603859</v>
      </c>
    </row>
    <row r="5" spans="1:14" x14ac:dyDescent="0.45">
      <c r="A5" s="12">
        <v>4</v>
      </c>
      <c r="B5" s="13"/>
      <c r="C5" s="17">
        <v>32</v>
      </c>
      <c r="D5" s="17"/>
      <c r="E5" s="17"/>
      <c r="F5" s="17"/>
      <c r="G5" s="38"/>
      <c r="H5" s="15">
        <v>2019</v>
      </c>
      <c r="J5" t="s">
        <v>39</v>
      </c>
      <c r="K5" s="35">
        <f>Table114[[#Totals],[18K]]</f>
        <v>800</v>
      </c>
      <c r="L5" s="35">
        <f>'#'!K6*Table2[[#This Row],[Weight]]</f>
        <v>324776</v>
      </c>
      <c r="M5" s="35">
        <f>Table2[[#This Row],[RAW Value]]*'#'!D18</f>
        <v>8239567.1200000001</v>
      </c>
      <c r="N5" s="35">
        <f>Table2[[#This Row],[RAW Value]]</f>
        <v>324776</v>
      </c>
    </row>
    <row r="6" spans="1:14" x14ac:dyDescent="0.45">
      <c r="A6" s="10">
        <v>5</v>
      </c>
      <c r="B6" s="13"/>
      <c r="C6" s="17"/>
      <c r="D6" s="17"/>
      <c r="E6" s="17">
        <v>3</v>
      </c>
      <c r="F6" s="17"/>
      <c r="G6" s="38">
        <v>30</v>
      </c>
      <c r="H6" s="15">
        <v>2018</v>
      </c>
      <c r="J6" t="s">
        <v>42</v>
      </c>
      <c r="K6" s="35">
        <f>Table114[[#Totals],[21K]]</f>
        <v>0</v>
      </c>
      <c r="L6" s="35">
        <f>'#'!K5*Table2[[#This Row],[Weight]]</f>
        <v>0</v>
      </c>
      <c r="M6" s="35">
        <f>Table2[[#This Row],[RAW Value]]*'#'!D18</f>
        <v>0</v>
      </c>
      <c r="N6" s="35">
        <f>Table2[[#This Row],[RAW Value]]</f>
        <v>0</v>
      </c>
    </row>
    <row r="7" spans="1:14" x14ac:dyDescent="0.45">
      <c r="A7" s="12">
        <v>6</v>
      </c>
      <c r="B7" s="13"/>
      <c r="C7" s="17"/>
      <c r="D7" s="17"/>
      <c r="E7" s="17">
        <v>54</v>
      </c>
      <c r="F7" s="17"/>
      <c r="G7" s="38"/>
      <c r="H7" s="15">
        <v>2018</v>
      </c>
      <c r="J7" t="s">
        <v>40</v>
      </c>
      <c r="K7" s="35">
        <f>Table114[[#Totals],[22K]]</f>
        <v>52</v>
      </c>
      <c r="L7" s="35">
        <f>'#'!K4*Table2[[#This Row],[Weight]]</f>
        <v>25801.88</v>
      </c>
      <c r="M7" s="35">
        <f>Table2[[#This Row],[RAW Value]]*'#'!D18</f>
        <v>654593.69560000009</v>
      </c>
      <c r="N7" s="35">
        <f>Table2[[#This Row],[RAW Value]]</f>
        <v>25801.88</v>
      </c>
    </row>
    <row r="8" spans="1:14" x14ac:dyDescent="0.45">
      <c r="A8" s="10">
        <v>7</v>
      </c>
      <c r="B8" s="13"/>
      <c r="C8" s="17"/>
      <c r="D8" s="17"/>
      <c r="E8" s="17">
        <v>34</v>
      </c>
      <c r="F8" s="17"/>
      <c r="G8" s="38"/>
      <c r="H8" s="15">
        <v>2019</v>
      </c>
      <c r="J8" t="s">
        <v>41</v>
      </c>
      <c r="K8" s="35">
        <f>Table114[[#Totals],[24K]]</f>
        <v>0</v>
      </c>
      <c r="L8" s="35">
        <f>'#'!K3*Table2[[#This Row],[Weight]]</f>
        <v>0</v>
      </c>
      <c r="M8" s="35">
        <f>Table2[[#This Row],[RAW Value]]*'#'!D18</f>
        <v>0</v>
      </c>
      <c r="N8" s="35">
        <f>Table2[[#This Row],[RAW Value]]</f>
        <v>0</v>
      </c>
    </row>
    <row r="9" spans="1:14" x14ac:dyDescent="0.45">
      <c r="A9" s="12">
        <v>8</v>
      </c>
      <c r="B9" s="13"/>
      <c r="C9" s="17"/>
      <c r="D9" s="17"/>
      <c r="E9" s="17">
        <v>21</v>
      </c>
      <c r="F9" s="17"/>
      <c r="G9" s="38"/>
      <c r="H9" s="15">
        <v>2019</v>
      </c>
      <c r="J9" t="s">
        <v>31</v>
      </c>
      <c r="K9" s="18">
        <f>SUBTOTAL(109,Table2[Weight])</f>
        <v>1513.5</v>
      </c>
      <c r="L9" s="18"/>
      <c r="M9" s="18">
        <f>SUBTOTAL(109,Table2[v(INR)])</f>
        <v>17137672.8156</v>
      </c>
      <c r="N9" s="18">
        <f>SUBTOTAL(109,Table2[v(AED)])</f>
        <v>675509.3738904217</v>
      </c>
    </row>
    <row r="10" spans="1:14" x14ac:dyDescent="0.45">
      <c r="A10" s="10">
        <v>9</v>
      </c>
      <c r="B10" s="13"/>
      <c r="C10" s="17"/>
      <c r="D10" s="17"/>
      <c r="E10" s="17">
        <v>22</v>
      </c>
      <c r="F10" s="17"/>
      <c r="G10" s="38"/>
      <c r="H10" s="15">
        <v>2019</v>
      </c>
    </row>
    <row r="11" spans="1:14" x14ac:dyDescent="0.45">
      <c r="A11" s="12">
        <v>10</v>
      </c>
      <c r="B11" s="13"/>
      <c r="C11" s="17"/>
      <c r="D11" s="17"/>
      <c r="E11" s="17">
        <v>55</v>
      </c>
      <c r="F11" s="17"/>
      <c r="G11" s="38"/>
      <c r="H11" s="15">
        <v>2019</v>
      </c>
      <c r="J11" s="53" t="s">
        <v>48</v>
      </c>
      <c r="K11" s="9" t="s">
        <v>46</v>
      </c>
      <c r="L11" s="54" t="s">
        <v>47</v>
      </c>
    </row>
    <row r="12" spans="1:14" x14ac:dyDescent="0.45">
      <c r="A12" s="10">
        <v>11</v>
      </c>
      <c r="B12" s="13"/>
      <c r="C12" s="17"/>
      <c r="D12" s="17">
        <v>54</v>
      </c>
      <c r="E12" s="17">
        <v>66</v>
      </c>
      <c r="F12" s="17"/>
      <c r="G12" s="38"/>
      <c r="H12" s="15">
        <v>2018</v>
      </c>
      <c r="J12" s="6">
        <v>176</v>
      </c>
      <c r="K12" s="7">
        <f>Table1[[#This Row],[Smile Points]]*0.8</f>
        <v>140.80000000000001</v>
      </c>
      <c r="L12" s="8">
        <f>(Table1[[#This Row],[Smile Points]]/125)</f>
        <v>1.4079999999999999</v>
      </c>
    </row>
    <row r="13" spans="1:14" x14ac:dyDescent="0.45">
      <c r="A13" s="12">
        <v>12</v>
      </c>
      <c r="B13" s="13"/>
      <c r="C13" s="17">
        <v>40</v>
      </c>
      <c r="D13" s="17"/>
      <c r="E13" s="17"/>
      <c r="F13" s="17"/>
      <c r="G13" s="38"/>
      <c r="H13" s="15">
        <v>2019</v>
      </c>
    </row>
    <row r="14" spans="1:14" x14ac:dyDescent="0.45">
      <c r="A14" s="10">
        <v>13</v>
      </c>
      <c r="B14" s="13"/>
      <c r="C14" s="17">
        <v>4</v>
      </c>
      <c r="D14" s="17"/>
      <c r="E14" s="17"/>
      <c r="F14" s="17"/>
      <c r="G14" s="38"/>
      <c r="H14" s="15">
        <v>2019</v>
      </c>
      <c r="J14" s="53" t="s">
        <v>146</v>
      </c>
      <c r="K14" s="9" t="s">
        <v>145</v>
      </c>
      <c r="L14" s="54" t="s">
        <v>5</v>
      </c>
    </row>
    <row r="15" spans="1:14" x14ac:dyDescent="0.45">
      <c r="A15" s="12">
        <v>14</v>
      </c>
      <c r="B15" s="13"/>
      <c r="C15" s="17"/>
      <c r="D15" s="17"/>
      <c r="E15" s="17">
        <v>9.8000000000000007</v>
      </c>
      <c r="F15" s="17"/>
      <c r="G15" s="38"/>
      <c r="H15" s="15">
        <v>2019</v>
      </c>
      <c r="J15" s="6">
        <v>25.85</v>
      </c>
      <c r="K15" s="7">
        <v>11.19</v>
      </c>
      <c r="L15" s="8">
        <f>SUM(Table17[[#This Row],[SIM 1]:[SIM 2]])</f>
        <v>37.04</v>
      </c>
    </row>
    <row r="16" spans="1:14" x14ac:dyDescent="0.45">
      <c r="A16" s="10">
        <v>15</v>
      </c>
      <c r="B16" s="13"/>
      <c r="C16" s="17">
        <v>3</v>
      </c>
      <c r="D16" s="17"/>
      <c r="E16" s="17"/>
      <c r="F16" s="17"/>
      <c r="G16" s="38"/>
      <c r="H16" s="15">
        <v>2019</v>
      </c>
    </row>
    <row r="17" spans="1:16" ht="14.65" thickBot="1" x14ac:dyDescent="0.5">
      <c r="A17" s="12">
        <v>16</v>
      </c>
      <c r="B17" s="13"/>
      <c r="C17" s="17">
        <v>10</v>
      </c>
      <c r="D17" s="17"/>
      <c r="E17" s="17"/>
      <c r="F17" s="17"/>
      <c r="G17" s="38"/>
      <c r="H17" s="15">
        <v>2019</v>
      </c>
    </row>
    <row r="18" spans="1:16" ht="14.65" thickBot="1" x14ac:dyDescent="0.5">
      <c r="A18" s="12">
        <v>17</v>
      </c>
      <c r="B18" s="13"/>
      <c r="C18" s="17"/>
      <c r="D18" s="17"/>
      <c r="E18" s="17">
        <v>3.2</v>
      </c>
      <c r="F18" s="17"/>
      <c r="G18" s="38"/>
      <c r="H18" s="15">
        <v>2022</v>
      </c>
      <c r="J18" s="99" t="s">
        <v>51</v>
      </c>
      <c r="K18" s="100"/>
      <c r="L18" s="100"/>
      <c r="M18" s="100"/>
      <c r="N18" s="100"/>
      <c r="O18" s="101"/>
    </row>
    <row r="19" spans="1:16" x14ac:dyDescent="0.45">
      <c r="A19" s="12">
        <v>19</v>
      </c>
      <c r="B19" s="13"/>
      <c r="C19" s="17"/>
      <c r="D19" s="17"/>
      <c r="E19" s="17">
        <v>5</v>
      </c>
      <c r="F19" s="17"/>
      <c r="G19" s="38"/>
      <c r="H19" s="15">
        <v>2022</v>
      </c>
      <c r="J19" s="47" t="s">
        <v>53</v>
      </c>
      <c r="K19" s="48" t="s">
        <v>36</v>
      </c>
      <c r="L19" s="48" t="s">
        <v>52</v>
      </c>
      <c r="M19" s="48" t="s">
        <v>54</v>
      </c>
      <c r="N19" s="48" t="s">
        <v>17</v>
      </c>
      <c r="O19" s="49" t="s">
        <v>57</v>
      </c>
    </row>
    <row r="20" spans="1:16" x14ac:dyDescent="0.45">
      <c r="A20" s="12">
        <v>20</v>
      </c>
      <c r="B20" s="13"/>
      <c r="C20" s="17"/>
      <c r="D20" s="17"/>
      <c r="E20" s="17"/>
      <c r="F20" s="17"/>
      <c r="G20" s="38">
        <v>300</v>
      </c>
      <c r="H20" s="15">
        <v>2019</v>
      </c>
      <c r="J20" s="41" t="s">
        <v>55</v>
      </c>
      <c r="K20" s="39">
        <f>Table114[[#Totals],[Silver]]</f>
        <v>100</v>
      </c>
      <c r="L20" s="39">
        <f>Table13[[#This Row],[Weight]]/40</f>
        <v>2.5</v>
      </c>
      <c r="M20" s="39">
        <f>'#'!N12</f>
        <v>12.935</v>
      </c>
      <c r="N20" s="40">
        <f>Table13[[#This Row],[Zakat wt.]]*Table13[[#This Row],[Unit Price]]</f>
        <v>32.337499999999999</v>
      </c>
      <c r="O20" s="42" t="s">
        <v>19</v>
      </c>
    </row>
    <row r="21" spans="1:16" ht="14.65" thickBot="1" x14ac:dyDescent="0.5">
      <c r="A21" s="57">
        <v>21</v>
      </c>
      <c r="B21" s="14"/>
      <c r="C21" s="58"/>
      <c r="D21" s="58"/>
      <c r="E21" s="58">
        <v>1.9</v>
      </c>
      <c r="F21" s="58"/>
      <c r="G21" s="59"/>
      <c r="H21" s="16">
        <v>2023</v>
      </c>
      <c r="J21" s="43" t="s">
        <v>56</v>
      </c>
      <c r="K21" s="44">
        <f>Table11[[#Totals],[Silver]]</f>
        <v>330</v>
      </c>
      <c r="L21" s="44">
        <f>Table13[[#This Row],[Weight]]/40</f>
        <v>8.25</v>
      </c>
      <c r="M21" s="44">
        <f>'#'!B12</f>
        <v>228</v>
      </c>
      <c r="N21" s="45">
        <f>Table13[[#This Row],[Zakat wt.]]*Table13[[#This Row],[Unit Price]]</f>
        <v>1881</v>
      </c>
      <c r="O21" s="46" t="s">
        <v>10</v>
      </c>
    </row>
    <row r="22" spans="1:16" x14ac:dyDescent="0.45">
      <c r="A22" s="57">
        <v>22</v>
      </c>
      <c r="B22" s="13"/>
      <c r="C22" s="17"/>
      <c r="D22" s="17"/>
      <c r="E22" s="17">
        <v>15</v>
      </c>
      <c r="F22" s="17"/>
      <c r="G22" s="38"/>
      <c r="H22" s="15">
        <v>2022</v>
      </c>
    </row>
    <row r="23" spans="1:16" ht="14.65" thickBot="1" x14ac:dyDescent="0.5">
      <c r="A23" s="57">
        <v>23</v>
      </c>
      <c r="B23" s="13" t="s">
        <v>3</v>
      </c>
      <c r="C23" s="17"/>
      <c r="D23" s="17"/>
      <c r="E23" s="17">
        <v>12.4</v>
      </c>
      <c r="F23" s="17"/>
      <c r="G23" s="38"/>
      <c r="H23" s="15">
        <v>2018</v>
      </c>
      <c r="P23" s="28"/>
    </row>
    <row r="24" spans="1:16" ht="14.65" thickBot="1" x14ac:dyDescent="0.5">
      <c r="A24" s="21"/>
      <c r="B24" s="27" t="s">
        <v>32</v>
      </c>
      <c r="C24" s="24">
        <f>SUBTOTAL(109,Table11[18K])</f>
        <v>239</v>
      </c>
      <c r="D24" s="24">
        <f>SUBTOTAL(109,Table11[21K])</f>
        <v>154</v>
      </c>
      <c r="E24" s="24">
        <f>SUBTOTAL(109,Table11[22K])</f>
        <v>422.49999999999994</v>
      </c>
      <c r="F24" s="24">
        <f>SUBTOTAL(109,Table11[24K])</f>
        <v>0</v>
      </c>
      <c r="G24" s="24">
        <f>SUBTOTAL(109,Table11[Silver])</f>
        <v>330</v>
      </c>
      <c r="H24" s="23"/>
      <c r="J24" s="10" t="s">
        <v>64</v>
      </c>
      <c r="K24" s="60" t="s">
        <v>35</v>
      </c>
      <c r="L24" s="62" t="s">
        <v>50</v>
      </c>
      <c r="P24" s="34"/>
    </row>
    <row r="25" spans="1:16" ht="14.65" thickBot="1" x14ac:dyDescent="0.5">
      <c r="J25" s="61" t="s">
        <v>65</v>
      </c>
      <c r="K25" s="66">
        <f>85*'#'!K3</f>
        <v>46010.499999999993</v>
      </c>
      <c r="L25" s="66">
        <f>595*'#'!N12</f>
        <v>7696.3250000000007</v>
      </c>
      <c r="P25" s="34"/>
    </row>
    <row r="26" spans="1:16" ht="14.65" thickBot="1" x14ac:dyDescent="0.5">
      <c r="A26" s="21" t="s">
        <v>28</v>
      </c>
      <c r="B26" s="22" t="s">
        <v>2</v>
      </c>
      <c r="C26" s="22" t="s">
        <v>1</v>
      </c>
      <c r="D26" s="22" t="s">
        <v>25</v>
      </c>
      <c r="E26" s="22" t="s">
        <v>0</v>
      </c>
      <c r="F26" s="22" t="s">
        <v>27</v>
      </c>
      <c r="G26" s="36" t="s">
        <v>50</v>
      </c>
      <c r="H26" s="23" t="s">
        <v>8</v>
      </c>
      <c r="J26" s="63" t="s">
        <v>66</v>
      </c>
      <c r="K26" s="64">
        <f>K25*'#'!D18</f>
        <v>1167286.3849999998</v>
      </c>
      <c r="L26" s="65">
        <f>L25*'#'!D18</f>
        <v>195255.76525000003</v>
      </c>
      <c r="N26" s="28"/>
      <c r="O26" s="28"/>
      <c r="P26" s="34"/>
    </row>
    <row r="27" spans="1:16" x14ac:dyDescent="0.45">
      <c r="A27" s="12">
        <v>1</v>
      </c>
      <c r="B27" s="13" t="s">
        <v>6</v>
      </c>
      <c r="C27" s="17"/>
      <c r="D27" s="17"/>
      <c r="E27" s="17"/>
      <c r="F27" s="17"/>
      <c r="G27" s="38">
        <v>100</v>
      </c>
      <c r="H27" s="15">
        <v>2019</v>
      </c>
      <c r="P27" s="34"/>
    </row>
    <row r="28" spans="1:16" x14ac:dyDescent="0.45">
      <c r="A28" s="12">
        <v>2</v>
      </c>
      <c r="B28" s="13" t="s">
        <v>4</v>
      </c>
      <c r="C28" s="17"/>
      <c r="D28" s="17"/>
      <c r="E28" s="17"/>
      <c r="F28" s="17"/>
      <c r="G28" s="38"/>
      <c r="H28" s="15">
        <v>2022</v>
      </c>
      <c r="J28" s="70" t="s">
        <v>75</v>
      </c>
      <c r="K28" s="71" t="s">
        <v>13</v>
      </c>
    </row>
    <row r="29" spans="1:16" x14ac:dyDescent="0.45">
      <c r="A29" s="12">
        <v>3</v>
      </c>
      <c r="B29" s="13"/>
      <c r="C29" s="17"/>
      <c r="D29" s="17"/>
      <c r="E29" s="17">
        <v>52</v>
      </c>
      <c r="F29" s="17"/>
      <c r="G29" s="38"/>
      <c r="H29" s="15">
        <v>2019</v>
      </c>
      <c r="J29" s="68" t="s">
        <v>72</v>
      </c>
      <c r="K29" s="69">
        <v>7.9</v>
      </c>
    </row>
    <row r="30" spans="1:16" x14ac:dyDescent="0.45">
      <c r="A30" s="12">
        <v>4</v>
      </c>
      <c r="B30" s="13"/>
      <c r="C30" s="17">
        <v>700</v>
      </c>
      <c r="D30" s="17"/>
      <c r="E30" s="17"/>
      <c r="F30" s="17"/>
      <c r="G30" s="38"/>
      <c r="H30" s="15">
        <v>2019</v>
      </c>
      <c r="J30" s="72" t="s">
        <v>73</v>
      </c>
      <c r="K30" s="73">
        <v>9.66</v>
      </c>
    </row>
    <row r="31" spans="1:16" ht="14.65" thickBot="1" x14ac:dyDescent="0.5">
      <c r="A31" s="57">
        <v>5</v>
      </c>
      <c r="B31" s="14"/>
      <c r="C31" s="58">
        <v>100</v>
      </c>
      <c r="D31" s="58"/>
      <c r="E31" s="58"/>
      <c r="F31" s="58"/>
      <c r="G31" s="59"/>
      <c r="H31" s="16">
        <v>2023</v>
      </c>
      <c r="J31" s="72" t="s">
        <v>74</v>
      </c>
      <c r="K31" s="73">
        <v>5.69</v>
      </c>
    </row>
    <row r="32" spans="1:16" ht="14.65" thickBot="1" x14ac:dyDescent="0.5">
      <c r="A32" s="21"/>
      <c r="B32" s="27" t="s">
        <v>32</v>
      </c>
      <c r="C32" s="24">
        <f>SUBTOTAL(109,Table114[18K])</f>
        <v>800</v>
      </c>
      <c r="D32" s="24">
        <f>SUBTOTAL(109,Table114[21K])</f>
        <v>0</v>
      </c>
      <c r="E32" s="24">
        <f>SUBTOTAL(109,Table114[22K])</f>
        <v>52</v>
      </c>
      <c r="F32" s="24">
        <f>SUBTOTAL(109,Table114[24K])</f>
        <v>0</v>
      </c>
      <c r="G32" s="24">
        <f>SUBTOTAL(109,Table114[Silver])</f>
        <v>100</v>
      </c>
      <c r="H32" s="23"/>
      <c r="J32" s="72" t="s">
        <v>76</v>
      </c>
      <c r="K32" s="73">
        <v>5.4</v>
      </c>
    </row>
    <row r="33" spans="10:11" x14ac:dyDescent="0.45">
      <c r="J33" s="72" t="s">
        <v>77</v>
      </c>
      <c r="K33" s="73">
        <v>1.36</v>
      </c>
    </row>
    <row r="34" spans="10:11" x14ac:dyDescent="0.45">
      <c r="J34" s="72" t="s">
        <v>78</v>
      </c>
      <c r="K34" s="73">
        <v>0.34</v>
      </c>
    </row>
    <row r="35" spans="10:11" x14ac:dyDescent="0.45">
      <c r="J35" s="72" t="s">
        <v>79</v>
      </c>
      <c r="K35" s="73">
        <v>50</v>
      </c>
    </row>
    <row r="36" spans="10:11" x14ac:dyDescent="0.45">
      <c r="J36" s="72" t="s">
        <v>80</v>
      </c>
      <c r="K36" s="73">
        <v>100</v>
      </c>
    </row>
    <row r="37" spans="10:11" x14ac:dyDescent="0.45">
      <c r="J37" s="72" t="s">
        <v>81</v>
      </c>
      <c r="K37" s="73">
        <v>0</v>
      </c>
    </row>
    <row r="38" spans="10:11" x14ac:dyDescent="0.45">
      <c r="J38" s="72" t="s">
        <v>129</v>
      </c>
      <c r="K38" s="73" cm="1">
        <f t="array" ref="K38">Table1[Dhs]</f>
        <v>1.4079999999999999</v>
      </c>
    </row>
    <row r="39" spans="10:11" x14ac:dyDescent="0.45">
      <c r="J39" s="72" t="s">
        <v>130</v>
      </c>
      <c r="K39" s="73">
        <v>0</v>
      </c>
    </row>
    <row r="40" spans="10:11" x14ac:dyDescent="0.45">
      <c r="J40" s="72" t="s">
        <v>82</v>
      </c>
      <c r="K40" s="73">
        <v>200</v>
      </c>
    </row>
    <row r="41" spans="10:11" x14ac:dyDescent="0.45">
      <c r="J41" s="72" t="s">
        <v>83</v>
      </c>
      <c r="K41" s="73">
        <v>1.6</v>
      </c>
    </row>
    <row r="42" spans="10:11" x14ac:dyDescent="0.45">
      <c r="J42" s="72" t="s">
        <v>85</v>
      </c>
      <c r="K42" s="73">
        <v>31.8</v>
      </c>
    </row>
    <row r="43" spans="10:11" x14ac:dyDescent="0.45">
      <c r="J43" s="72" t="s">
        <v>122</v>
      </c>
      <c r="K43" s="73">
        <v>12.48</v>
      </c>
    </row>
    <row r="44" spans="10:11" x14ac:dyDescent="0.45">
      <c r="J44" s="72" t="s">
        <v>123</v>
      </c>
      <c r="K44" s="73">
        <v>10</v>
      </c>
    </row>
    <row r="45" spans="10:11" x14ac:dyDescent="0.45">
      <c r="J45" s="72" t="s">
        <v>125</v>
      </c>
      <c r="K45" s="73">
        <v>0</v>
      </c>
    </row>
    <row r="46" spans="10:11" x14ac:dyDescent="0.45">
      <c r="J46" s="72" t="s">
        <v>126</v>
      </c>
      <c r="K46" s="73">
        <v>0</v>
      </c>
    </row>
    <row r="47" spans="10:11" x14ac:dyDescent="0.45">
      <c r="J47" s="72" t="s">
        <v>127</v>
      </c>
      <c r="K47" s="73">
        <v>0</v>
      </c>
    </row>
    <row r="48" spans="10:11" x14ac:dyDescent="0.45">
      <c r="J48" s="72" t="s">
        <v>128</v>
      </c>
      <c r="K48" s="73">
        <v>2.89</v>
      </c>
    </row>
    <row r="49" spans="10:11" x14ac:dyDescent="0.45">
      <c r="J49" s="72" t="s">
        <v>131</v>
      </c>
      <c r="K49" s="73"/>
    </row>
    <row r="50" spans="10:11" x14ac:dyDescent="0.45">
      <c r="J50" s="72" t="s">
        <v>5</v>
      </c>
      <c r="K50" s="73">
        <f>SUBTOTAL(109,Table41[Amount])</f>
        <v>440.52800000000008</v>
      </c>
    </row>
  </sheetData>
  <mergeCells count="2">
    <mergeCell ref="J1:N1"/>
    <mergeCell ref="J18:O18"/>
  </mergeCells>
  <phoneticPr fontId="7" type="noConversion"/>
  <pageMargins left="0.7" right="0.7" top="0.75" bottom="0.75" header="0.3" footer="0.3"/>
  <pageSetup orientation="portrait" r:id="rId1"/>
  <headerFooter>
    <oddFooter>&amp;C_x000D_&amp;1#&amp;"Calibri"&amp;12&amp;K000000 e&amp; - Confidential</oddFooter>
  </headerFooter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4AEB-0EEB-49EA-9149-1F3662CC3FF6}">
  <dimension ref="A1:O24"/>
  <sheetViews>
    <sheetView workbookViewId="0">
      <selection activeCell="K3" sqref="K3:K6"/>
    </sheetView>
  </sheetViews>
  <sheetFormatPr defaultRowHeight="14.25" x14ac:dyDescent="0.45"/>
  <cols>
    <col min="1" max="1" width="16.53125" bestFit="1" customWidth="1"/>
    <col min="2" max="2" width="8.796875" bestFit="1" customWidth="1"/>
    <col min="3" max="3" width="9.796875" bestFit="1" customWidth="1"/>
    <col min="4" max="4" width="10.796875" bestFit="1" customWidth="1"/>
    <col min="5" max="5" width="11.59765625" bestFit="1" customWidth="1"/>
    <col min="6" max="7" width="9.6640625" bestFit="1" customWidth="1"/>
    <col min="8" max="9" width="7.796875" bestFit="1" customWidth="1"/>
    <col min="10" max="10" width="10.59765625" bestFit="1" customWidth="1"/>
    <col min="11" max="12" width="10.19921875" bestFit="1" customWidth="1"/>
    <col min="13" max="13" width="11.19921875" bestFit="1" customWidth="1"/>
    <col min="14" max="17" width="10.19921875" bestFit="1" customWidth="1"/>
  </cols>
  <sheetData>
    <row r="1" spans="1:15" x14ac:dyDescent="0.45">
      <c r="A1" s="79" t="s">
        <v>106</v>
      </c>
      <c r="B1" s="5" t="s">
        <v>61</v>
      </c>
      <c r="C1" s="5" t="s">
        <v>87</v>
      </c>
      <c r="D1" s="5" t="s">
        <v>88</v>
      </c>
      <c r="E1" s="5" t="s">
        <v>89</v>
      </c>
      <c r="F1" s="5" t="s">
        <v>62</v>
      </c>
      <c r="G1" s="5" t="s">
        <v>90</v>
      </c>
      <c r="J1" s="79" t="s">
        <v>111</v>
      </c>
      <c r="K1" s="5" t="s">
        <v>103</v>
      </c>
      <c r="L1" s="5" t="s">
        <v>104</v>
      </c>
      <c r="M1" s="5" t="s">
        <v>112</v>
      </c>
      <c r="N1" s="5" t="s">
        <v>105</v>
      </c>
      <c r="O1" s="5" t="s">
        <v>107</v>
      </c>
    </row>
    <row r="2" spans="1:15" x14ac:dyDescent="0.45">
      <c r="A2" s="5" t="s">
        <v>91</v>
      </c>
      <c r="B2" s="5">
        <v>14551</v>
      </c>
      <c r="C2" s="5">
        <v>145510</v>
      </c>
      <c r="D2" s="5">
        <v>1455100</v>
      </c>
      <c r="E2" s="5">
        <v>14551000</v>
      </c>
      <c r="F2" s="5">
        <v>412514</v>
      </c>
      <c r="G2" s="5">
        <v>169720</v>
      </c>
      <c r="J2" s="5" t="s">
        <v>108</v>
      </c>
      <c r="K2" s="5">
        <v>16836</v>
      </c>
      <c r="L2" s="5">
        <v>16836</v>
      </c>
      <c r="M2" s="5"/>
      <c r="N2" s="5" t="s">
        <v>139</v>
      </c>
      <c r="O2" s="5">
        <v>16836</v>
      </c>
    </row>
    <row r="3" spans="1:15" x14ac:dyDescent="0.45">
      <c r="A3" s="5" t="s">
        <v>92</v>
      </c>
      <c r="B3" s="83">
        <v>13338</v>
      </c>
      <c r="C3" s="5">
        <v>133384</v>
      </c>
      <c r="D3" s="5">
        <v>1333842</v>
      </c>
      <c r="E3" s="5">
        <v>13338417</v>
      </c>
      <c r="F3" s="5">
        <v>378138</v>
      </c>
      <c r="G3" s="5">
        <v>155577</v>
      </c>
      <c r="J3" s="5" t="s">
        <v>27</v>
      </c>
      <c r="K3" s="5">
        <v>541.29999999999995</v>
      </c>
      <c r="L3" s="5">
        <v>541.29999999999995</v>
      </c>
      <c r="M3" s="5"/>
      <c r="N3" s="5" t="s">
        <v>139</v>
      </c>
      <c r="O3" s="5">
        <v>541.29999999999995</v>
      </c>
    </row>
    <row r="4" spans="1:15" x14ac:dyDescent="0.45">
      <c r="A4" s="5" t="s">
        <v>93</v>
      </c>
      <c r="B4" s="83">
        <v>12126</v>
      </c>
      <c r="C4" s="5">
        <v>121258</v>
      </c>
      <c r="D4" s="5">
        <v>1212583</v>
      </c>
      <c r="E4" s="5">
        <v>12125833</v>
      </c>
      <c r="F4" s="5">
        <v>343762</v>
      </c>
      <c r="G4" s="5">
        <v>141433</v>
      </c>
      <c r="J4" s="5" t="s">
        <v>0</v>
      </c>
      <c r="K4" s="5">
        <v>496.19</v>
      </c>
      <c r="L4" s="5">
        <v>496.19</v>
      </c>
      <c r="M4" s="5"/>
      <c r="N4" s="5" t="s">
        <v>139</v>
      </c>
      <c r="O4" s="5">
        <v>496.19</v>
      </c>
    </row>
    <row r="5" spans="1:15" x14ac:dyDescent="0.45">
      <c r="A5" s="5" t="s">
        <v>94</v>
      </c>
      <c r="B5" s="83">
        <v>10913</v>
      </c>
      <c r="C5" s="5">
        <v>109133</v>
      </c>
      <c r="D5" s="5">
        <v>1091325</v>
      </c>
      <c r="E5" s="5">
        <v>10913250</v>
      </c>
      <c r="F5" s="5">
        <v>309385</v>
      </c>
      <c r="G5" s="5">
        <v>127290</v>
      </c>
      <c r="J5" s="5" t="s">
        <v>25</v>
      </c>
      <c r="K5" s="5">
        <v>473.64</v>
      </c>
      <c r="L5" s="5">
        <v>473.64</v>
      </c>
      <c r="M5" s="5"/>
      <c r="N5" s="5" t="s">
        <v>139</v>
      </c>
      <c r="O5" s="5">
        <v>473.64</v>
      </c>
    </row>
    <row r="6" spans="1:15" x14ac:dyDescent="0.45">
      <c r="A6" s="5" t="s">
        <v>95</v>
      </c>
      <c r="B6" s="5">
        <v>9701</v>
      </c>
      <c r="C6" s="5">
        <v>97007</v>
      </c>
      <c r="D6" s="5">
        <v>970067</v>
      </c>
      <c r="E6" s="5">
        <v>9700667</v>
      </c>
      <c r="F6" s="5">
        <v>275009</v>
      </c>
      <c r="G6" s="5">
        <v>113147</v>
      </c>
      <c r="J6" s="5" t="s">
        <v>1</v>
      </c>
      <c r="K6" s="5">
        <v>405.97</v>
      </c>
      <c r="L6" s="5">
        <v>405.97</v>
      </c>
      <c r="M6" s="5"/>
      <c r="N6" s="5" t="s">
        <v>139</v>
      </c>
      <c r="O6" s="5">
        <v>405.97</v>
      </c>
    </row>
    <row r="7" spans="1:15" x14ac:dyDescent="0.45">
      <c r="A7" s="5" t="s">
        <v>96</v>
      </c>
      <c r="B7" s="5">
        <v>8488</v>
      </c>
      <c r="C7" s="5">
        <v>84881</v>
      </c>
      <c r="D7" s="5">
        <v>848808</v>
      </c>
      <c r="E7" s="5">
        <v>8488083</v>
      </c>
      <c r="F7" s="5">
        <v>240633</v>
      </c>
      <c r="G7" s="5">
        <v>99003</v>
      </c>
    </row>
    <row r="8" spans="1:15" x14ac:dyDescent="0.45">
      <c r="A8" s="5" t="s">
        <v>97</v>
      </c>
      <c r="B8" s="5">
        <v>7276</v>
      </c>
      <c r="C8" s="5">
        <v>72755</v>
      </c>
      <c r="D8" s="5">
        <v>727550</v>
      </c>
      <c r="E8" s="5">
        <v>7275500</v>
      </c>
      <c r="F8" s="5">
        <v>206257</v>
      </c>
      <c r="G8" s="5">
        <v>84860</v>
      </c>
    </row>
    <row r="9" spans="1:15" x14ac:dyDescent="0.45">
      <c r="A9" s="5" t="s">
        <v>98</v>
      </c>
      <c r="B9" s="5">
        <v>6063</v>
      </c>
      <c r="C9" s="5">
        <v>60629</v>
      </c>
      <c r="D9" s="5">
        <v>606292</v>
      </c>
      <c r="E9" s="5">
        <v>6062917</v>
      </c>
      <c r="F9" s="5">
        <v>171881</v>
      </c>
      <c r="G9" s="5">
        <v>70717</v>
      </c>
    </row>
    <row r="11" spans="1:15" x14ac:dyDescent="0.45">
      <c r="A11" s="81" t="s">
        <v>110</v>
      </c>
      <c r="B11" s="5" t="s">
        <v>61</v>
      </c>
      <c r="C11" s="5" t="s">
        <v>87</v>
      </c>
      <c r="D11" s="5" t="s">
        <v>88</v>
      </c>
      <c r="E11" s="5" t="s">
        <v>89</v>
      </c>
      <c r="F11" s="5" t="s">
        <v>109</v>
      </c>
      <c r="G11" s="5" t="s">
        <v>62</v>
      </c>
      <c r="H11" s="5" t="s">
        <v>90</v>
      </c>
      <c r="J11" s="81" t="s">
        <v>60</v>
      </c>
      <c r="K11" s="75" t="s">
        <v>103</v>
      </c>
      <c r="L11" s="75" t="s">
        <v>104</v>
      </c>
      <c r="M11" s="76" t="s">
        <v>105</v>
      </c>
      <c r="N11" s="5" t="s">
        <v>121</v>
      </c>
    </row>
    <row r="12" spans="1:15" x14ac:dyDescent="0.45">
      <c r="A12" s="5" t="s">
        <v>99</v>
      </c>
      <c r="B12" s="83">
        <v>228</v>
      </c>
      <c r="C12" s="5">
        <v>2279</v>
      </c>
      <c r="D12" s="5">
        <v>22794</v>
      </c>
      <c r="E12" s="5">
        <v>227940</v>
      </c>
      <c r="F12" s="5"/>
      <c r="G12" s="5">
        <v>6462</v>
      </c>
      <c r="H12" s="5">
        <v>2659</v>
      </c>
      <c r="J12" s="77" t="s">
        <v>67</v>
      </c>
      <c r="K12" s="5">
        <v>12935</v>
      </c>
      <c r="L12" s="5">
        <v>12935</v>
      </c>
      <c r="M12" s="78">
        <v>13095</v>
      </c>
      <c r="N12" s="83">
        <f>Silver_UAE[[#This Row],[Column2]]/1000</f>
        <v>12.935</v>
      </c>
    </row>
    <row r="13" spans="1:15" x14ac:dyDescent="0.45">
      <c r="A13" s="5" t="s">
        <v>100</v>
      </c>
      <c r="B13" s="5">
        <v>211</v>
      </c>
      <c r="C13" s="5">
        <v>2108</v>
      </c>
      <c r="D13" s="5">
        <v>21084</v>
      </c>
      <c r="E13" s="5">
        <v>210845</v>
      </c>
      <c r="F13" s="5"/>
      <c r="G13" s="5">
        <v>5977</v>
      </c>
      <c r="H13" s="5">
        <v>2459</v>
      </c>
      <c r="J13" s="6" t="s">
        <v>68</v>
      </c>
      <c r="K13" s="7">
        <v>3525</v>
      </c>
      <c r="L13" s="7">
        <v>3525</v>
      </c>
      <c r="M13" s="8">
        <v>3568</v>
      </c>
      <c r="N13" s="5">
        <f>Silver_UAE[[#This Row],[Column2]]/1000</f>
        <v>3.5249999999999999</v>
      </c>
    </row>
    <row r="14" spans="1:15" x14ac:dyDescent="0.45">
      <c r="A14" s="5" t="s">
        <v>101</v>
      </c>
      <c r="B14" s="5">
        <v>205</v>
      </c>
      <c r="C14" s="5">
        <v>2051</v>
      </c>
      <c r="D14" s="5">
        <v>20515</v>
      </c>
      <c r="E14" s="5">
        <v>205146</v>
      </c>
      <c r="F14" s="5"/>
      <c r="G14" s="5">
        <v>5816</v>
      </c>
      <c r="H14" s="5">
        <v>2393</v>
      </c>
    </row>
    <row r="15" spans="1:15" x14ac:dyDescent="0.45">
      <c r="A15" s="5" t="s">
        <v>102</v>
      </c>
      <c r="B15" s="5">
        <v>182</v>
      </c>
      <c r="C15" s="5">
        <v>1824</v>
      </c>
      <c r="D15" s="5">
        <v>18235</v>
      </c>
      <c r="E15" s="5">
        <v>182352</v>
      </c>
      <c r="F15" s="5"/>
      <c r="G15" s="5">
        <v>5170</v>
      </c>
      <c r="H15" s="5">
        <v>2127</v>
      </c>
    </row>
    <row r="17" spans="1:4" x14ac:dyDescent="0.45">
      <c r="A17" s="80" t="s">
        <v>113</v>
      </c>
      <c r="B17" s="75" t="s">
        <v>103</v>
      </c>
      <c r="C17" s="75" t="s">
        <v>104</v>
      </c>
      <c r="D17" s="76" t="s">
        <v>105</v>
      </c>
    </row>
    <row r="18" spans="1:4" x14ac:dyDescent="0.45">
      <c r="A18" s="77" t="s">
        <v>114</v>
      </c>
      <c r="B18" s="5">
        <v>25.37</v>
      </c>
      <c r="C18" s="5" t="s">
        <v>132</v>
      </c>
      <c r="D18" s="82">
        <v>25.37</v>
      </c>
    </row>
    <row r="19" spans="1:4" x14ac:dyDescent="0.45">
      <c r="A19" s="77" t="s">
        <v>115</v>
      </c>
      <c r="B19" s="5">
        <v>76.03</v>
      </c>
      <c r="C19" s="5" t="s">
        <v>133</v>
      </c>
      <c r="D19" s="78">
        <v>76.03</v>
      </c>
    </row>
    <row r="20" spans="1:4" x14ac:dyDescent="0.45">
      <c r="A20" s="77" t="s">
        <v>116</v>
      </c>
      <c r="B20" s="5">
        <v>33.35</v>
      </c>
      <c r="C20" s="5" t="s">
        <v>134</v>
      </c>
      <c r="D20" s="78">
        <v>33.35</v>
      </c>
    </row>
    <row r="21" spans="1:4" x14ac:dyDescent="0.45">
      <c r="A21" s="77" t="s">
        <v>117</v>
      </c>
      <c r="B21" s="5">
        <v>84.8</v>
      </c>
      <c r="C21" s="5" t="s">
        <v>135</v>
      </c>
      <c r="D21" s="78">
        <v>84.8</v>
      </c>
    </row>
    <row r="22" spans="1:4" x14ac:dyDescent="0.45">
      <c r="A22" s="77" t="s">
        <v>118</v>
      </c>
      <c r="B22" s="5">
        <v>40.47</v>
      </c>
      <c r="C22" s="5" t="s">
        <v>136</v>
      </c>
      <c r="D22" s="78">
        <v>40.47</v>
      </c>
    </row>
    <row r="23" spans="1:4" x14ac:dyDescent="0.45">
      <c r="A23" s="77" t="s">
        <v>119</v>
      </c>
      <c r="B23" s="5">
        <v>14.02</v>
      </c>
      <c r="C23" s="5" t="s">
        <v>137</v>
      </c>
      <c r="D23" s="78">
        <v>14.02</v>
      </c>
    </row>
    <row r="24" spans="1:4" x14ac:dyDescent="0.45">
      <c r="A24" s="6" t="s">
        <v>120</v>
      </c>
      <c r="B24" s="7">
        <v>16.329999999999998</v>
      </c>
      <c r="C24" s="7" t="s">
        <v>138</v>
      </c>
      <c r="D24" s="8">
        <v>16.329999999999998</v>
      </c>
    </row>
  </sheetData>
  <phoneticPr fontId="7" type="noConversion"/>
  <pageMargins left="0.7" right="0.7" top="0.75" bottom="0.75" header="0.3" footer="0.3"/>
  <pageSetup orientation="portrait" r:id="rId1"/>
  <headerFooter>
    <oddFooter>&amp;C_x000D_&amp;1#&amp;"Calibri"&amp;12&amp;K000000 e&amp; - Confidential</oddFooter>
  </headerFooter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851A6-1760-46C4-8105-817044D3CC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Zakah Engine</vt:lpstr>
      <vt:lpstr>Inventory</vt:lpstr>
      <vt:lpstr>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Aamer Shah</dc:creator>
  <cp:lastModifiedBy>Aamer Shah</cp:lastModifiedBy>
  <cp:lastPrinted>2023-03-31T08:51:33Z</cp:lastPrinted>
  <dcterms:created xsi:type="dcterms:W3CDTF">2022-07-13T16:10:02Z</dcterms:created>
  <dcterms:modified xsi:type="dcterms:W3CDTF">2026-03-22T18:43:04Z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ded560-9163-473e-8e7b-b8356895f85a_Enabled">
    <vt:lpwstr>true</vt:lpwstr>
  </property>
  <property fmtid="{D5CDD505-2E9C-101B-9397-08002B2CF9AE}" pid="3" name="MSIP_Label_bcded560-9163-473e-8e7b-b8356895f85a_SetDate">
    <vt:lpwstr>2023-10-02T04:16:40Z</vt:lpwstr>
  </property>
  <property fmtid="{D5CDD505-2E9C-101B-9397-08002B2CF9AE}" pid="4" name="MSIP_Label_bcded560-9163-473e-8e7b-b8356895f85a_Method">
    <vt:lpwstr>Standard</vt:lpwstr>
  </property>
  <property fmtid="{D5CDD505-2E9C-101B-9397-08002B2CF9AE}" pid="5" name="MSIP_Label_bcded560-9163-473e-8e7b-b8356895f85a_Name">
    <vt:lpwstr>Confidential</vt:lpwstr>
  </property>
  <property fmtid="{D5CDD505-2E9C-101B-9397-08002B2CF9AE}" pid="6" name="MSIP_Label_bcded560-9163-473e-8e7b-b8356895f85a_SiteId">
    <vt:lpwstr>956d0a5b-65df-40ee-b210-145b0e79eac8</vt:lpwstr>
  </property>
  <property fmtid="{D5CDD505-2E9C-101B-9397-08002B2CF9AE}" pid="7" name="MSIP_Label_bcded560-9163-473e-8e7b-b8356895f85a_ActionId">
    <vt:lpwstr>fe367add-fe96-4289-a63c-deaac86acf12</vt:lpwstr>
  </property>
  <property fmtid="{D5CDD505-2E9C-101B-9397-08002B2CF9AE}" pid="8" name="MSIP_Label_bcded560-9163-473e-8e7b-b8356895f85a_ContentBits">
    <vt:lpwstr>2</vt:lpwstr>
  </property>
</Properties>
</file>